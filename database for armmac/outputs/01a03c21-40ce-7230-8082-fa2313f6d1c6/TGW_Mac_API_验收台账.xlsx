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936a23bf5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73dd54d805e437f"/>
    <x:sheet xmlns:r="http://schemas.openxmlformats.org/officeDocument/2006/relationships" name="接口验收" sheetId="2" r:id="R57f5925067614631"/>
    <x:sheet xmlns:r="http://schemas.openxmlformats.org/officeDocument/2006/relationships" name="功能号目录" sheetId="3" r:id="R49b47741b8674a58"/>
    <x:sheet xmlns:r="http://schemas.openxmlformats.org/officeDocument/2006/relationships" name="数据结构" sheetId="4" r:id="R9161ad95b9294acf"/>
    <x:sheet xmlns:r="http://schemas.openxmlformats.org/officeDocument/2006/relationships" name="测试批次" sheetId="5" r:id="R699adb59e6454bad"/>
    <x:sheet xmlns:r="http://schemas.openxmlformats.org/officeDocument/2006/relationships" name="状态字典" sheetId="6" r:id="R9afe96b6ca8c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%&quot;"/>
    <x:numFmt numFmtId="201" formatCode="0.0&quot;%&quot;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  <x:font>
      <x:b/>
      <x:sz val="11"/>
      <x:color rgb="FF1E40AF"/>
      <x:name val="Carlito"/>
    </x:font>
    <x:font>
      <x:b/>
      <x:sz val="11"/>
      <x:color rgb="FF065F46"/>
      <x:name val="Carlito"/>
    </x:font>
    <x:font>
      <x:b/>
      <x:sz val="11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4" fillId="5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f634d35004506" /><Relationship Type="http://schemas.openxmlformats.org/officeDocument/2006/relationships/theme" Target="/xl/theme/theme1.xml" Id="R76745e11e3474a78" /><Relationship Type="http://schemas.openxmlformats.org/officeDocument/2006/relationships/sharedStrings" Target="/xl/sharedStrings.xml" Id="R2cc22bb9dc1d4779" /><Relationship Type="http://schemas.openxmlformats.org/officeDocument/2006/relationships/worksheet" Target="/xl/worksheets/sheet1.xml" Id="R273dd54d805e437f" /><Relationship Type="http://schemas.openxmlformats.org/officeDocument/2006/relationships/worksheet" Target="/xl/worksheets/sheet2.xml" Id="R57f5925067614631" /><Relationship Type="http://schemas.openxmlformats.org/officeDocument/2006/relationships/worksheet" Target="/xl/worksheets/sheet3.xml" Id="R49b47741b8674a58" /><Relationship Type="http://schemas.openxmlformats.org/officeDocument/2006/relationships/worksheet" Target="/xl/worksheets/sheet4.xml" Id="R9161ad95b9294acf" /><Relationship Type="http://schemas.openxmlformats.org/officeDocument/2006/relationships/worksheet" Target="/xl/worksheets/sheet5.xml" Id="R699adb59e6454bad" /><Relationship Type="http://schemas.openxmlformats.org/officeDocument/2006/relationships/worksheet" Target="/xl/worksheets/sheet6.xml" Id="R9afe96b6ca8c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10" hidden="0" customWidth="1"/>
    <x:col min="5" max="5" width="24" hidden="0" customWidth="1"/>
    <x:col min="6" max="6" width="25" hidden="0" customWidth="1"/>
    <x:col min="7" max="7" width="24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6" customHeight="1">
      <x:c r="A1" s="3" t="str">
        <x:v>macOS ARM64 适配验收总览</x:v>
      </x:c>
      <x:c r="B1" s="3" t="str">
        <x:v>macOS ARM64 适配验收总览</x:v>
      </x:c>
      <x:c r="C1" s="3" t="str">
        <x:v>macOS ARM64 适配验收总览</x:v>
      </x:c>
      <x:c r="D1" s="3" t="str">
        <x:v>macOS ARM64 适配验收总览</x:v>
      </x:c>
      <x:c r="E1" s="3" t="str">
        <x:v>macOS ARM64 适配验收总览</x:v>
      </x:c>
      <x:c r="F1" s="3" t="str">
        <x:v>macOS ARM64 适配验收总览</x:v>
      </x:c>
      <x:c r="G1" s="3" t="str">
        <x:v>macOS ARM64 适配验收总览</x:v>
      </x:c>
      <x:c r="H1" s="3" t="str">
        <x:v>macOS ARM64 适配验收总览</x:v>
      </x:c>
      <x:c r="I1" s="3" t="str">
        <x:v>macOS ARM64 适配验收总览</x:v>
      </x:c>
      <x:c r="J1" s="3" t="str">
        <x:v>macOS ARM64 适配验收总览</x:v>
      </x:c>
      <x:c r="K1" s="3" t="str">
        <x:v>macOS ARM64 适配验收总览</x:v>
      </x:c>
      <x:c r="L1" s="3" t="str">
        <x:v>macOS ARM64 适配验收总览</x:v>
      </x:c>
    </x:row>
    <x:row r="2" ht="32" customHeight="1">
      <x:c r="A2" s="7" t="str">
        <x:v>盘后工作台 · 由接口台账公式汇总 · 更新时间 2026-08-26</x:v>
      </x:c>
      <x:c r="B2" s="7" t="str">
        <x:v>盘后工作台 · 由接口台账公式汇总 · 更新时间 2026-08-26</x:v>
      </x:c>
      <x:c r="C2" s="7" t="str">
        <x:v>盘后工作台 · 由接口台账公式汇总 · 更新时间 2026-08-26</x:v>
      </x:c>
      <x:c r="D2" s="7" t="str">
        <x:v>盘后工作台 · 由接口台账公式汇总 · 更新时间 2026-08-26</x:v>
      </x:c>
      <x:c r="E2" s="7" t="str">
        <x:v>盘后工作台 · 由接口台账公式汇总 · 更新时间 2026-08-26</x:v>
      </x:c>
      <x:c r="F2" s="7" t="str">
        <x:v>盘后工作台 · 由接口台账公式汇总 · 更新时间 2026-08-26</x:v>
      </x:c>
      <x:c r="G2" s="7" t="str">
        <x:v>盘后工作台 · 由接口台账公式汇总 · 更新时间 2026-08-26</x:v>
      </x:c>
      <x:c r="H2" s="7" t="str">
        <x:v>盘后工作台 · 由接口台账公式汇总 · 更新时间 2026-08-26</x:v>
      </x:c>
      <x:c r="I2" s="7" t="str">
        <x:v>盘后工作台 · 由接口台账公式汇总 · 更新时间 2026-08-26</x:v>
      </x:c>
      <x:c r="J2" s="7" t="str">
        <x:v>盘后工作台 · 由接口台账公式汇总 · 更新时间 2026-08-26</x:v>
      </x:c>
      <x:c r="K2" s="7" t="str">
        <x:v>盘后工作台 · 由接口台账公式汇总 · 更新时间 2026-08-26</x:v>
      </x:c>
      <x:c r="L2" s="7" t="str">
        <x:v>盘后工作台 · 由接口台账公式汇总 · 更新时间 2026-08-26</x:v>
      </x:c>
    </x:row>
    <x:row r="4" ht="30" customHeight="1">
      <x:c r="A4" s="13" t="str">
        <x:v>指标</x:v>
      </x:c>
      <x:c r="B4" s="13" t="str">
        <x:v>值</x:v>
      </x:c>
      <x:c r="D4" s="26" t="str">
        <x:v>盘后优先队列</x:v>
      </x:c>
      <x:c r="E4" s="26" t="str">
        <x:v>盘后优先队列</x:v>
      </x:c>
      <x:c r="F4" s="26" t="str">
        <x:v>盘后优先队列</x:v>
      </x:c>
      <x:c r="G4" s="26" t="str">
        <x:v>盘后优先队列</x:v>
      </x:c>
      <x:c r="H4" s="26" t="str">
        <x:v>盘后优先队列</x:v>
      </x:c>
    </x:row>
    <x:row r="5" ht="30" customHeight="1">
      <x:c r="A5" s="18" t="str">
        <x:v>接口总数</x:v>
      </x:c>
      <x:c r="B5" s="18" t="n">
        <x:f>COUNTA('接口验收'!$E$5:$E$168)</x:f>
        <x:v>164</x:v>
      </x:c>
      <x:c r="D5" s="13" t="str">
        <x:v>优先级</x:v>
      </x:c>
      <x:c r="E5" s="13" t="str">
        <x:v>接口</x:v>
      </x:c>
      <x:c r="F5" s="13" t="str">
        <x:v>子范围</x:v>
      </x:c>
      <x:c r="G5" s="13" t="str">
        <x:v>当前状态</x:v>
      </x:c>
      <x:c r="H5" s="13" t="str">
        <x:v>下一步</x:v>
      </x:c>
    </x:row>
    <x:row r="6">
      <x:c r="A6" s="18" t="str">
        <x:v>盘后可测</x:v>
      </x:c>
      <x:c r="B6" s="18" t="n">
        <x:f>COUNTIF('接口验收'!$H$5:$H$168,"是")</x:f>
        <x:v>119</x:v>
      </x:c>
      <x:c r="D6" s="18" t="n">
        <x:v>1</x:v>
      </x:c>
      <x:c r="E6" s="18" t="str">
        <x:v>QuerySnapshot</x:v>
      </x:c>
      <x:c r="F6" s="18" t="str">
        <x:v>SZSE ETF L1 历史</x:v>
      </x:c>
      <x:c r="G6" s="18" t="str">
        <x:v>LIVE_ALIGNED</x:v>
      </x:c>
      <x:c r="H6" s="18" t="str">
        <x:v>已完成错误码/异步合约；余多包异步交付与其它市场</x:v>
      </x:c>
    </x:row>
    <x:row r="7">
      <x:c r="A7" s="18" t="str">
        <x:v>LIVE_ALIGNED</x:v>
      </x:c>
      <x:c r="B7" s="18" t="n">
        <x:f>COUNTIF('接口验收'!$J$5:$J$168,"LIVE_ALIGNED")</x:f>
        <x:v>22</x:v>
      </x:c>
      <x:c r="D7" s="18" t="n">
        <x:v>2</x:v>
      </x:c>
      <x:c r="E7" s="18" t="str">
        <x:v>QueryCodeTable</x:v>
      </x:c>
      <x:c r="F7" s="18" t="str">
        <x:v>全市场完整分包</x:v>
      </x:c>
      <x:c r="G7" s="18" t="str">
        <x:v>STATIC_MATCHED</x:v>
      </x:c>
      <x:c r="H7" s="18" t="str">
        <x:v>异步 SPI 累计 shape + wire</x:v>
      </x:c>
    </x:row>
    <x:row r="8">
      <x:c r="A8" s="18" t="str">
        <x:v>ARM_IMPLEMENTED</x:v>
      </x:c>
      <x:c r="B8" s="18" t="n">
        <x:f>COUNTIF('接口验收'!$J$5:$J$168,"ARM_IMPLEMENTED")</x:f>
        <x:v>5</x:v>
      </x:c>
      <x:c r="D8" s="18" t="n">
        <x:v>3</x:v>
      </x:c>
      <x:c r="E8" s="18" t="str">
        <x:v>QueryKline</x:v>
      </x:c>
      <x:c r="F8" s="18" t="str">
        <x:v>季线单周期</x:v>
      </x:c>
      <x:c r="G8" s="18" t="str">
        <x:v>INVENTORIED</x:v>
      </x:c>
      <x:c r="H8" s="18" t="str">
        <x:v>Linux wire → Mac 映射 → 同参复验</x:v>
      </x:c>
    </x:row>
    <x:row r="9">
      <x:c r="A9" s="18" t="str">
        <x:v>WIRE_VERIFIED</x:v>
      </x:c>
      <x:c r="B9" s="18" t="n">
        <x:f>COUNTIF('接口验收'!$J$5:$J$168,"WIRE_VERIFIED")</x:f>
        <x:v>0</x:v>
      </x:c>
      <x:c r="D9" s="18" t="n">
        <x:v>4</x:v>
      </x:c>
      <x:c r="E9" s="18" t="str">
        <x:v>QueryETFInfo</x:v>
      </x:c>
      <x:c r="F9" s="18" t="str">
        <x:v>SZSE 单 ETF</x:v>
      </x:c>
      <x:c r="G9" s="18" t="str">
        <x:v>INVENTORIED</x:v>
      </x:c>
      <x:c r="H9" s="18" t="str">
        <x:v>独立市场 oracle + wire → Mac</x:v>
      </x:c>
    </x:row>
    <x:row r="10">
      <x:c r="A10" s="18" t="str">
        <x:v>需返工</x:v>
      </x:c>
      <x:c r="B10" s="18" t="n">
        <x:f>COUNTIF('接口验收'!$J$5:$J$168,"CHANGES_REQUESTED")</x:f>
        <x:v>1</x:v>
      </x:c>
      <x:c r="D10" s="18" t="n">
        <x:v>5</x:v>
      </x:c>
      <x:c r="E10" s="18" t="str">
        <x:v>get_code_info</x:v>
      </x:c>
      <x:c r="F10" s="18" t="str">
        <x:v>单证券类型</x:v>
      </x:c>
      <x:c r="G10" s="18" t="str">
        <x:v>INVENTORIED</x:v>
      </x:c>
      <x:c r="H10" s="18" t="str">
        <x:v>核对 wrapper 默认值与列类型</x:v>
      </x:c>
    </x:row>
    <x:row r="11">
      <x:c r="A11" s="18" t="str">
        <x:v>仅托管/不适用</x:v>
      </x:c>
      <x:c r="B11" s="18" t="n">
        <x:f>COUNTIF('接口验收'!$J$5:$J$168,"OUT_OF_SCOPE_COLOC")</x:f>
        <x:v>11</x:v>
      </x:c>
      <x:c r="D11" s="18" t="n">
        <x:v>6</x:v>
      </x:c>
      <x:c r="E11" s="18" t="str">
        <x:v>get_code_list</x:v>
      </x:c>
      <x:c r="F11" s="18" t="str">
        <x:v>沪深北单类型</x:v>
      </x:c>
      <x:c r="G11" s="18" t="str">
        <x:v>INVENTORIED</x:v>
      </x:c>
      <x:c r="H11" s="18" t="str">
        <x:v>核对列表顺序/空结果</x:v>
      </x:c>
    </x:row>
    <x:row r="12">
      <x:c r="A12" s="18" t="str">
        <x:v>平均完成度</x:v>
      </x:c>
      <x:c r="B12" s="23" t="n">
        <x:f>AVERAGE('接口验收'!$K$5:$K$168)</x:f>
        <x:v>21.524390243902438</x:v>
      </x:c>
      <x:c r="D12" s="18" t="n">
        <x:v>7</x:v>
      </x:c>
      <x:c r="E12" s="18" t="str">
        <x:v>get_stock_basic</x:v>
      </x:c>
      <x:c r="F12" s="18" t="str">
        <x:v>单代码/单日</x:v>
      </x:c>
      <x:c r="G12" s="18" t="str">
        <x:v>INVENTORIED</x:v>
      </x:c>
      <x:c r="H12" s="18" t="str">
        <x:v>映射 ThirdInfo 功能号</x:v>
      </x:c>
    </x:row>
    <x:row r="13">
      <x:c r="D13" s="18" t="n">
        <x:v>8</x:v>
      </x:c>
      <x:c r="E13" s="18" t="str">
        <x:v>财务接口</x:v>
      </x:c>
      <x:c r="F13" s="18" t="str">
        <x:v>单接口/单报告期</x:v>
      </x:c>
      <x:c r="G13" s="18" t="str">
        <x:v>INVENTORIED</x:v>
      </x:c>
      <x:c r="H13" s="18" t="str">
        <x:v>逐字段/分页/空值验收</x:v>
      </x:c>
    </x:row>
    <x:row r="15">
      <x:c r="A15" s="29" t="str">
        <x:v>判定规则：只有 Linux 官方 SDK 与 Mac 使用完全相同参数，且返回码、行/包数、列集合、Python 类型、不变量、完成/关闭语义一致，才进入 LIVE_ALIGNED。</x:v>
      </x:c>
      <x:c r="B15" s="29" t="str">
        <x:v>判定规则：只有 Linux 官方 SDK 与 Mac 使用完全相同参数，且返回码、行/包数、列集合、Python 类型、不变量、完成/关闭语义一致，才进入 LIVE_ALIGNED。</x:v>
      </x:c>
      <x:c r="C15" s="29" t="str">
        <x:v>判定规则：只有 Linux 官方 SDK 与 Mac 使用完全相同参数，且返回码、行/包数、列集合、Python 类型、不变量、完成/关闭语义一致，才进入 LIVE_ALIGNED。</x:v>
      </x:c>
      <x:c r="D15" s="29" t="str">
        <x:v>判定规则：只有 Linux 官方 SDK 与 Mac 使用完全相同参数，且返回码、行/包数、列集合、Python 类型、不变量、完成/关闭语义一致，才进入 LIVE_ALIGNED。</x:v>
      </x:c>
      <x:c r="E15" s="29" t="str">
        <x:v>判定规则：只有 Linux 官方 SDK 与 Mac 使用完全相同参数，且返回码、行/包数、列集合、Python 类型、不变量、完成/关闭语义一致，才进入 LIVE_ALIGNED。</x:v>
      </x:c>
      <x:c r="F15" s="29" t="str">
        <x:v>判定规则：只有 Linux 官方 SDK 与 Mac 使用完全相同参数，且返回码、行/包数、列集合、Python 类型、不变量、完成/关闭语义一致，才进入 LIVE_ALIGNED。</x:v>
      </x:c>
      <x:c r="G15" s="29" t="str">
        <x:v>判定规则：只有 Linux 官方 SDK 与 Mac 使用完全相同参数，且返回码、行/包数、列集合、Python 类型、不变量、完成/关闭语义一致，才进入 LIVE_ALIGNED。</x:v>
      </x:c>
      <x:c r="H15" s="29" t="str">
        <x:v>判定规则：只有 Linux 官方 SDK 与 Mac 使用完全相同参数，且返回码、行/包数、列集合、Python 类型、不变量、完成/关闭语义一致，才进入 LIVE_ALIGNED。</x:v>
      </x:c>
      <x:c r="I15" s="29" t="str">
        <x:v>判定规则：只有 Linux 官方 SDK 与 Mac 使用完全相同参数，且返回码、行/包数、列集合、Python 类型、不变量、完成/关闭语义一致，才进入 LIVE_ALIGNED。</x:v>
      </x:c>
      <x:c r="J15" s="29" t="str">
        <x:v>判定规则：只有 Linux 官方 SDK 与 Mac 使用完全相同参数，且返回码、行/包数、列集合、Python 类型、不变量、完成/关闭语义一致，才进入 LIVE_ALIGNED。</x:v>
      </x:c>
      <x:c r="K15" s="29" t="str">
        <x:v>判定规则：只有 Linux 官方 SDK 与 Mac 使用完全相同参数，且返回码、行/包数、列集合、Python 类型、不变量、完成/关闭语义一致，才进入 LIVE_ALIGNED。</x:v>
      </x:c>
      <x:c r="L15" s="29" t="str">
        <x:v>判定规则：只有 Linux 官方 SDK 与 Mac 使用完全相同参数，且返回码、行/包数、列集合、Python 类型、不变量、完成/关闭语义一致，才进入 LIVE_ALIGNED。</x:v>
      </x:c>
    </x:row>
    <x:row r="17">
      <x:c r="A17" s="32" t="str">
        <x:v>盘后限制：实时订阅与持续回调项统一标记“否（待开盘）”；不得用无推送代替失败结论。写操作和仅托管接口不进入默认测试队列。</x:v>
      </x:c>
      <x:c r="B17" s="32" t="str">
        <x:v>盘后限制：实时订阅与持续回调项统一标记“否（待开盘）”；不得用无推送代替失败结论。写操作和仅托管接口不进入默认测试队列。</x:v>
      </x:c>
      <x:c r="C17" s="32" t="str">
        <x:v>盘后限制：实时订阅与持续回调项统一标记“否（待开盘）”；不得用无推送代替失败结论。写操作和仅托管接口不进入默认测试队列。</x:v>
      </x:c>
      <x:c r="D17" s="32" t="str">
        <x:v>盘后限制：实时订阅与持续回调项统一标记“否（待开盘）”；不得用无推送代替失败结论。写操作和仅托管接口不进入默认测试队列。</x:v>
      </x:c>
      <x:c r="E17" s="32" t="str">
        <x:v>盘后限制：实时订阅与持续回调项统一标记“否（待开盘）”；不得用无推送代替失败结论。写操作和仅托管接口不进入默认测试队列。</x:v>
      </x:c>
      <x:c r="F17" s="32" t="str">
        <x:v>盘后限制：实时订阅与持续回调项统一标记“否（待开盘）”；不得用无推送代替失败结论。写操作和仅托管接口不进入默认测试队列。</x:v>
      </x:c>
      <x:c r="G17" s="32" t="str">
        <x:v>盘后限制：实时订阅与持续回调项统一标记“否（待开盘）”；不得用无推送代替失败结论。写操作和仅托管接口不进入默认测试队列。</x:v>
      </x:c>
      <x:c r="H17" s="32" t="str">
        <x:v>盘后限制：实时订阅与持续回调项统一标记“否（待开盘）”；不得用无推送代替失败结论。写操作和仅托管接口不进入默认测试队列。</x:v>
      </x:c>
      <x:c r="I17" s="32" t="str">
        <x:v>盘后限制：实时订阅与持续回调项统一标记“否（待开盘）”；不得用无推送代替失败结论。写操作和仅托管接口不进入默认测试队列。</x:v>
      </x:c>
      <x:c r="J17" s="32" t="str">
        <x:v>盘后限制：实时订阅与持续回调项统一标记“否（待开盘）”；不得用无推送代替失败结论。写操作和仅托管接口不进入默认测试队列。</x:v>
      </x:c>
      <x:c r="K17" s="32" t="str">
        <x:v>盘后限制：实时订阅与持续回调项统一标记“否（待开盘）”；不得用无推送代替失败结论。写操作和仅托管接口不进入默认测试队列。</x:v>
      </x:c>
      <x:c r="L17" s="32" t="str">
        <x:v>盘后限制：实时订阅与持续回调项统一标记“否（待开盘）”；不得用无推送代替失败结论。写操作和仅托管接口不进入默认测试队列。</x:v>
      </x:c>
    </x:row>
  </x:sheetData>
  <x:mergeCells>
    <x:mergeCell ref="A1:L1"/>
    <x:mergeCell ref="A2:L2"/>
    <x:mergeCell ref="D4:H4"/>
    <x:mergeCell ref="A15:L15"/>
    <x:mergeCell ref="A17:L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14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18" hidden="0" customWidth="1"/>
    <x:col min="9" max="9" width="10" hidden="0" customWidth="1"/>
    <x:col min="10" max="10" width="23" hidden="0" customWidth="1"/>
    <x:col min="11" max="11" width="11" hidden="0" customWidth="1"/>
    <x:col min="12" max="12" width="13" hidden="0" customWidth="1"/>
    <x:col min="13" max="13" width="24" hidden="0" customWidth="1"/>
    <x:col min="14" max="14" width="29" hidden="0" customWidth="1"/>
    <x:col min="15" max="15" width="13" hidden="0" customWidth="1"/>
    <x:col min="16" max="16" width="25" hidden="0" customWidth="1"/>
    <x:col min="17" max="17" width="30" hidden="0" customWidth="1"/>
    <x:col min="18" max="18" width="42" hidden="0" customWidth="1"/>
    <x:col min="19" max="19" width="42" hidden="0" customWidth="1"/>
    <x:col min="20" max="20" width="42" hidden="0" customWidth="1"/>
    <x:col min="21" max="21" width="38" hidden="0" customWidth="1"/>
    <x:col min="22" max="22" width="36" hidden="0" customWidth="1"/>
    <x:col min="23" max="23" width="42" hidden="0" customWidth="1"/>
    <x:col min="24" max="24" width="40" hidden="0" customWidth="1"/>
    <x:col min="25" max="25" width="18" hidden="0" customWidth="1"/>
  </x:cols>
  <x:sheetData>
    <x:row r="1" ht="36" customHeight="1">
      <x:c r="A1" s="3" t="str">
        <x:v>TGW / AmazingData macOS ARM64 接口验收台账</x:v>
      </x:c>
      <x:c r="B1" s="3" t="str">
        <x:v>TGW / AmazingData macOS ARM64 接口验收台账</x:v>
      </x:c>
      <x:c r="C1" s="3" t="str">
        <x:v>TGW / AmazingData macOS ARM64 接口验收台账</x:v>
      </x:c>
      <x:c r="D1" s="3" t="str">
        <x:v>TGW / AmazingData macOS ARM64 接口验收台账</x:v>
      </x:c>
      <x:c r="E1" s="3" t="str">
        <x:v>TGW / AmazingData macOS ARM64 接口验收台账</x:v>
      </x:c>
      <x:c r="F1" s="3" t="str">
        <x:v>TGW / AmazingData macOS ARM64 接口验收台账</x:v>
      </x:c>
      <x:c r="G1" s="3" t="str">
        <x:v>TGW / AmazingData macOS ARM64 接口验收台账</x:v>
      </x:c>
      <x:c r="H1" s="3" t="str">
        <x:v>TGW / AmazingData macOS ARM64 接口验收台账</x:v>
      </x:c>
      <x:c r="I1" s="3" t="str">
        <x:v>TGW / AmazingData macOS ARM64 接口验收台账</x:v>
      </x:c>
      <x:c r="J1" s="3" t="str">
        <x:v>TGW / AmazingData macOS ARM64 接口验收台账</x:v>
      </x:c>
      <x:c r="K1" s="3" t="str">
        <x:v>TGW / AmazingData macOS ARM64 接口验收台账</x:v>
      </x:c>
      <x:c r="L1" s="3" t="str">
        <x:v>TGW / AmazingData macOS ARM64 接口验收台账</x:v>
      </x:c>
      <x:c r="M1" s="3" t="str">
        <x:v>TGW / AmazingData macOS ARM64 接口验收台账</x:v>
      </x:c>
      <x:c r="N1" s="3" t="str">
        <x:v>TGW / AmazingData macOS ARM64 接口验收台账</x:v>
      </x:c>
      <x:c r="O1" s="3" t="str">
        <x:v>TGW / AmazingData macOS ARM64 接口验收台账</x:v>
      </x:c>
      <x:c r="P1" s="3" t="str">
        <x:v>TGW / AmazingData macOS ARM64 接口验收台账</x:v>
      </x:c>
      <x:c r="Q1" s="3" t="str">
        <x:v>TGW / AmazingData macOS ARM64 接口验收台账</x:v>
      </x:c>
      <x:c r="R1" s="3" t="str">
        <x:v>TGW / AmazingData macOS ARM64 接口验收台账</x:v>
      </x:c>
      <x:c r="S1" s="3" t="str">
        <x:v>TGW / AmazingData macOS ARM64 接口验收台账</x:v>
      </x:c>
      <x:c r="T1" s="3" t="str">
        <x:v>TGW / AmazingData macOS ARM64 接口验收台账</x:v>
      </x:c>
      <x:c r="U1" s="3" t="str">
        <x:v>TGW / AmazingData macOS ARM64 接口验收台账</x:v>
      </x:c>
      <x:c r="V1" s="3" t="str">
        <x:v>TGW / AmazingData macOS ARM64 接口验收台账</x:v>
      </x:c>
      <x:c r="W1" s="3" t="str">
        <x:v>TGW / AmazingData macOS ARM64 接口验收台账</x:v>
      </x:c>
      <x:c r="X1" s="3" t="str">
        <x:v>TGW / AmazingData macOS ARM64 接口验收台账</x:v>
      </x:c>
      <x:c r="Y1" s="3" t="str">
        <x:v>TGW / AmazingData macOS ARM64 接口验收台账</x:v>
      </x:c>
    </x:row>
    <x:row r="2" ht="32" customHeight="1">
      <x:c r="A2" s="7" t="str">
        <x:v>范围来自两份 PDF 目录与中央矩阵。盘后优先历史/基础/ThirdInfo 查询；实时订阅只登记，待开盘验证。</x:v>
      </x:c>
      <x:c r="B2" s="7" t="str">
        <x:v>范围来自两份 PDF 目录与中央矩阵。盘后优先历史/基础/ThirdInfo 查询；实时订阅只登记，待开盘验证。</x:v>
      </x:c>
      <x:c r="C2" s="7" t="str">
        <x:v>范围来自两份 PDF 目录与中央矩阵。盘后优先历史/基础/ThirdInfo 查询；实时订阅只登记，待开盘验证。</x:v>
      </x:c>
      <x:c r="D2" s="7" t="str">
        <x:v>范围来自两份 PDF 目录与中央矩阵。盘后优先历史/基础/ThirdInfo 查询；实时订阅只登记，待开盘验证。</x:v>
      </x:c>
      <x:c r="E2" s="7" t="str">
        <x:v>范围来自两份 PDF 目录与中央矩阵。盘后优先历史/基础/ThirdInfo 查询；实时订阅只登记，待开盘验证。</x:v>
      </x:c>
      <x:c r="F2" s="7" t="str">
        <x:v>范围来自两份 PDF 目录与中央矩阵。盘后优先历史/基础/ThirdInfo 查询；实时订阅只登记，待开盘验证。</x:v>
      </x:c>
      <x:c r="G2" s="7" t="str">
        <x:v>范围来自两份 PDF 目录与中央矩阵。盘后优先历史/基础/ThirdInfo 查询；实时订阅只登记，待开盘验证。</x:v>
      </x:c>
      <x:c r="H2" s="7" t="str">
        <x:v>范围来自两份 PDF 目录与中央矩阵。盘后优先历史/基础/ThirdInfo 查询；实时订阅只登记，待开盘验证。</x:v>
      </x:c>
      <x:c r="I2" s="7" t="str">
        <x:v>范围来自两份 PDF 目录与中央矩阵。盘后优先历史/基础/ThirdInfo 查询；实时订阅只登记，待开盘验证。</x:v>
      </x:c>
      <x:c r="J2" s="7" t="str">
        <x:v>范围来自两份 PDF 目录与中央矩阵。盘后优先历史/基础/ThirdInfo 查询；实时订阅只登记，待开盘验证。</x:v>
      </x:c>
      <x:c r="K2" s="7" t="str">
        <x:v>范围来自两份 PDF 目录与中央矩阵。盘后优先历史/基础/ThirdInfo 查询；实时订阅只登记，待开盘验证。</x:v>
      </x:c>
      <x:c r="L2" s="7" t="str">
        <x:v>范围来自两份 PDF 目录与中央矩阵。盘后优先历史/基础/ThirdInfo 查询；实时订阅只登记，待开盘验证。</x:v>
      </x:c>
      <x:c r="M2" s="7" t="str">
        <x:v>范围来自两份 PDF 目录与中央矩阵。盘后优先历史/基础/ThirdInfo 查询；实时订阅只登记，待开盘验证。</x:v>
      </x:c>
      <x:c r="N2" s="7" t="str">
        <x:v>范围来自两份 PDF 目录与中央矩阵。盘后优先历史/基础/ThirdInfo 查询；实时订阅只登记，待开盘验证。</x:v>
      </x:c>
      <x:c r="O2" s="7" t="str">
        <x:v>范围来自两份 PDF 目录与中央矩阵。盘后优先历史/基础/ThirdInfo 查询；实时订阅只登记，待开盘验证。</x:v>
      </x:c>
      <x:c r="P2" s="7" t="str">
        <x:v>范围来自两份 PDF 目录与中央矩阵。盘后优先历史/基础/ThirdInfo 查询；实时订阅只登记，待开盘验证。</x:v>
      </x:c>
      <x:c r="Q2" s="7" t="str">
        <x:v>范围来自两份 PDF 目录与中央矩阵。盘后优先历史/基础/ThirdInfo 查询；实时订阅只登记，待开盘验证。</x:v>
      </x:c>
      <x:c r="R2" s="7" t="str">
        <x:v>范围来自两份 PDF 目录与中央矩阵。盘后优先历史/基础/ThirdInfo 查询；实时订阅只登记，待开盘验证。</x:v>
      </x:c>
      <x:c r="S2" s="7" t="str">
        <x:v>范围来自两份 PDF 目录与中央矩阵。盘后优先历史/基础/ThirdInfo 查询；实时订阅只登记，待开盘验证。</x:v>
      </x:c>
      <x:c r="T2" s="7" t="str">
        <x:v>范围来自两份 PDF 目录与中央矩阵。盘后优先历史/基础/ThirdInfo 查询；实时订阅只登记，待开盘验证。</x:v>
      </x:c>
      <x:c r="U2" s="7" t="str">
        <x:v>范围来自两份 PDF 目录与中央矩阵。盘后优先历史/基础/ThirdInfo 查询；实时订阅只登记，待开盘验证。</x:v>
      </x:c>
      <x:c r="V2" s="7" t="str">
        <x:v>范围来自两份 PDF 目录与中央矩阵。盘后优先历史/基础/ThirdInfo 查询；实时订阅只登记，待开盘验证。</x:v>
      </x:c>
      <x:c r="W2" s="7" t="str">
        <x:v>范围来自两份 PDF 目录与中央矩阵。盘后优先历史/基础/ThirdInfo 查询；实时订阅只登记，待开盘验证。</x:v>
      </x:c>
      <x:c r="X2" s="7" t="str">
        <x:v>范围来自两份 PDF 目录与中央矩阵。盘后优先历史/基础/ThirdInfo 查询；实时订阅只登记，待开盘验证。</x:v>
      </x:c>
      <x:c r="Y2" s="7" t="str">
        <x:v>范围来自两份 PDF 目录与中央矩阵。盘后优先历史/基础/ThirdInfo 查询；实时订阅只登记，待开盘验证。</x:v>
      </x:c>
    </x:row>
    <x:row r="4" ht="30" customHeight="1">
      <x:c r="A4" s="13" t="str">
        <x:v>序号</x:v>
      </x:c>
      <x:c r="B4" s="13" t="str">
        <x:v>文档来源</x:v>
      </x:c>
      <x:c r="C4" s="13" t="str">
        <x:v>PDF页</x:v>
      </x:c>
      <x:c r="D4" s="13" t="str">
        <x:v>章节/类别</x:v>
      </x:c>
      <x:c r="E4" s="13" t="str">
        <x:v>接口/功能</x:v>
      </x:c>
      <x:c r="F4" s="13" t="str">
        <x:v>底层请求</x:v>
      </x:c>
      <x:c r="G4" s="13" t="str">
        <x:v>模式</x:v>
      </x:c>
      <x:c r="H4" s="13" t="str">
        <x:v>盘后可测</x:v>
      </x:c>
      <x:c r="I4" s="13" t="str">
        <x:v>风险</x:v>
      </x:c>
      <x:c r="J4" s="13" t="str">
        <x:v>当前状态</x:v>
      </x:c>
      <x:c r="K4" s="13" t="str">
        <x:v>完成度%</x:v>
      </x:c>
      <x:c r="L4" s="13" t="str">
        <x:v>Linux日期</x:v>
      </x:c>
      <x:c r="M4" s="13" t="str">
        <x:v>Linux结果</x:v>
      </x:c>
      <x:c r="N4" s="13" t="str">
        <x:v>Wire / Tag</x:v>
      </x:c>
      <x:c r="O4" s="13" t="str">
        <x:v>Mac日期</x:v>
      </x:c>
      <x:c r="P4" s="13" t="str">
        <x:v>Mac结果</x:v>
      </x:c>
      <x:c r="Q4" s="13" t="str">
        <x:v>对齐结论/范围</x:v>
      </x:c>
      <x:c r="R4" s="13" t="str">
        <x:v>请求构造</x:v>
      </x:c>
      <x:c r="S4" s="13" t="str">
        <x:v>请求字段/类型</x:v>
      </x:c>
      <x:c r="T4" s="13" t="str">
        <x:v>响应结构/类型</x:v>
      </x:c>
      <x:c r="U4" s="13" t="str">
        <x:v>回调/返回合约</x:v>
      </x:c>
      <x:c r="V4" s="13" t="str">
        <x:v>证据</x:v>
      </x:c>
      <x:c r="W4" s="13" t="str">
        <x:v>下一步</x:v>
      </x:c>
      <x:c r="X4" s="13" t="str">
        <x:v>备注</x:v>
      </x:c>
      <x:c r="Y4" s="13" t="str">
        <x:v>负责人/批次</x:v>
      </x:c>
    </x:row>
    <x:row r="5" ht="42" customHeight="1">
      <x:c r="A5" s="20" t="n">
        <x:v>1</x:v>
      </x:c>
      <x:c r="B5" s="18" t="str">
        <x:v>TGW C++ 开发手册</x:v>
      </x:c>
      <x:c r="C5" s="18" t="str">
        <x:v>24</x:v>
      </x:c>
      <x:c r="D5" s="18" t="str">
        <x:v>基础</x:v>
      </x:c>
      <x:c r="E5" s="18" t="str">
        <x:v>IGMDApi::GetVersion()</x:v>
      </x:c>
      <x:c r="F5" s="18" t="str">
        <x:v>IGMDApi::GetVersion()</x:v>
      </x:c>
      <x:c r="G5" s="18" t="str">
        <x:v>双模式</x:v>
      </x:c>
      <x:c r="H5" s="18" t="str">
        <x:v>是</x:v>
      </x:c>
      <x:c r="I5" s="18" t="str">
        <x:v>低</x:v>
      </x:c>
      <x:c r="J5" s="18" t="str">
        <x:v>INVENTORIED</x:v>
      </x:c>
      <x:c r="K5" s="19" t="n">
        <x:f>IFERROR(VLOOKUP(J5,'状态字典'!$A$5:$B$16,2,FALSE),0)</x:f>
        <x:v>10</x:v>
      </x:c>
      <x:c r="L5" s="18" t="str"/>
      <x:c r="M5" s="18" t="str">
        <x:v>未执行</x:v>
      </x:c>
      <x:c r="N5" s="18" t="str">
        <x:v>无</x:v>
      </x:c>
      <x:c r="O5" s="18" t="str"/>
      <x:c r="P5" s="18" t="str">
        <x:v>待实现/复验</x:v>
      </x:c>
      <x:c r="Q5" s="18" t="str">
        <x:v>INVENTORIED(Mac 返回自实现版本)</x:v>
      </x:c>
      <x:c r="R5" s="18" t="str">
        <x:v>调用并比对返回类型为字符串；Linux oracle → wire → Mac → 同参</x:v>
      </x:c>
      <x:c r="S5" s="18" t="str">
        <x:v>无入参</x:v>
      </x:c>
      <x:c r="T5" s="18" t="str">
        <x:v>const char* 版本串</x:v>
      </x:c>
      <x:c r="U5" s="18" t="str">
        <x:v>无</x:v>
      </x:c>
      <x:c r="V5" s="18" t="str">
        <x:v>docs/PDF_API_INVENTORY.md</x:v>
      </x:c>
      <x:c r="W5" s="18" t="str">
        <x:v>调用并比对返回类型为字符串</x:v>
      </x:c>
      <x:c r="X5" s="18" t="str">
        <x:v>Mac 实现返回的是本实现版本号，不等于厂商 SDK 版本</x:v>
      </x:c>
      <x:c r="Y5" s="18" t="str"/>
    </x:row>
    <x:row r="6" ht="42" customHeight="1">
      <x:c r="A6" s="20" t="n">
        <x:v>2</x:v>
      </x:c>
      <x:c r="B6" s="18" t="str">
        <x:v>TGW C++ 开发手册</x:v>
      </x:c>
      <x:c r="C6" s="18" t="str">
        <x:v>24</x:v>
      </x:c>
      <x:c r="D6" s="18" t="str">
        <x:v>基础</x:v>
      </x:c>
      <x:c r="E6" s="18" t="str">
        <x:v>IGMDApi::Init(spi,cfg,api_mode,path)</x:v>
      </x:c>
      <x:c r="F6" s="18" t="str">
        <x:v>IGMDApi::Init(spi,cfg,api_mode,path)</x:v>
      </x:c>
      <x:c r="G6" s="18" t="str">
        <x:v>双模式</x:v>
      </x:c>
      <x:c r="H6" s="18" t="str">
        <x:v>否（模式不适用）</x:v>
      </x:c>
      <x:c r="I6" s="18" t="str">
        <x:v>低</x:v>
      </x:c>
      <x:c r="J6" s="18" t="str">
        <x:v>LIVE_ALIGNED</x:v>
      </x:c>
      <x:c r="K6" s="19" t="n">
        <x:f>IFERROR(VLOOKUP(J6,'状态字典'!$A$5:$B$16,2,FALSE),0)</x:f>
        <x:v>85</x:v>
      </x:c>
      <x:c r="L6" s="18" t="str">
        <x:v>2026-08-26</x:v>
      </x:c>
      <x:c r="M6" s="18" t="str">
        <x:v>已有脱敏证据；严格限于状态所述子范围</x:v>
      </x:c>
      <x:c r="N6" s="18" t="str">
        <x:v>ApiMode: kColocationMode=1/kInternetMode=2</x:v>
      </x:c>
      <x:c r="O6" s="18" t="str">
        <x:v>2026-08-26</x:v>
      </x:c>
      <x:c r="P6" s="18" t="str">
        <x:v>已有 Mac 子范围证据</x:v>
      </x:c>
      <x:c r="Q6" s="18" t="str">
        <x:v>LIVE_ALIGNED(internet login)（Mac 经 Login 覆盖）</x:v>
      </x:c>
      <x:c r="R6" s="18" t="str">
        <x:v>已有：真实 TLS/WSS 登录一次即关；Linux oracle → wire → Mac → 同参</x:v>
      </x:c>
      <x:c r="S6" s="18" t="str">
        <x:v>Cfg{server_vip[24],server_port,username[32],password[64],force_logout,coloca_cfg}</x:v>
      </x:c>
      <x:c r="T6" s="18" t="str">
        <x:v>int32 错误码</x:v>
      </x:c>
      <x:c r="U6" s="18" t="str">
        <x:v>登录后走 OnLogon</x:v>
      </x:c>
      <x:c r="V6" s="18" t="str">
        <x:v>docs/PDF_API_INVENTORY.md</x:v>
      </x:c>
      <x:c r="W6" s="18" t="str">
        <x:v>已有：真实 TLS/WSS 登录一次即关</x:v>
      </x:c>
      <x:c r="X6" s="18" t="str">
        <x:v>HDR ColocaCfg pack(1) sizeof=22、Cfg=145 已锁定；证书路径默认值行为未取证</x:v>
      </x:c>
      <x:c r="Y6" s="18" t="str"/>
    </x:row>
    <x:row r="7" ht="42" customHeight="1">
      <x:c r="A7" s="20" t="n">
        <x:v>3</x:v>
      </x:c>
      <x:c r="B7" s="18" t="str">
        <x:v>TGW C++ 开发手册</x:v>
      </x:c>
      <x:c r="C7" s="18" t="str">
        <x:v>24–25</x:v>
      </x:c>
      <x:c r="D7" s="18" t="str">
        <x:v>基础</x:v>
      </x:c>
      <x:c r="E7" s="18" t="str">
        <x:v>IGMDApi::Release()</x:v>
      </x:c>
      <x:c r="F7" s="18" t="str">
        <x:v>IGMDApi::Release()</x:v>
      </x:c>
      <x:c r="G7" s="18" t="str">
        <x:v>双模式</x:v>
      </x:c>
      <x:c r="H7" s="18" t="str">
        <x:v>是</x:v>
      </x:c>
      <x:c r="I7" s="18" t="str">
        <x:v>低</x:v>
      </x:c>
      <x:c r="J7" s="18" t="str">
        <x:v>LIVE_ALIGNED</x:v>
      </x:c>
      <x:c r="K7" s="19" t="n">
        <x:f>IFERROR(VLOOKUP(J7,'状态字典'!$A$5:$B$16,2,FALSE),0)</x:f>
        <x:v>85</x:v>
      </x:c>
      <x:c r="L7" s="18" t="str">
        <x:v>2026-08-26</x:v>
      </x:c>
      <x:c r="M7" s="18" t="str">
        <x:v>已有脱敏证据；严格限于状态所述子范围</x:v>
      </x:c>
      <x:c r="N7" s="18" t="str">
        <x:v>无</x:v>
      </x:c>
      <x:c r="O7" s="18" t="str">
        <x:v>2026-08-26</x:v>
      </x:c>
      <x:c r="P7" s="18" t="str">
        <x:v>已有 Mac 子范围证据</x:v>
      </x:c>
      <x:c r="Q7" s="18" t="str">
        <x:v>LIVE_ALIGNED(internet basic)（经 Close 覆盖）</x:v>
      </x:c>
      <x:c r="R7" s="18" t="str">
        <x:v>已有：单连接正常关闭+密码副本清空；Linux oracle → wire → Mac → 同参</x:v>
      </x:c>
      <x:c r="S7" s="18" t="str">
        <x:v>无</x:v>
      </x:c>
      <x:c r="T7" s="18" t="str">
        <x:v>int32 错误码</x:v>
      </x:c>
      <x:c r="U7" s="18" t="str">
        <x:v>无</x:v>
      </x:c>
      <x:c r="V7" s="18" t="str">
        <x:v>docs/PDF_API_INVENTORY.md</x:v>
      </x:c>
      <x:c r="W7" s="18" t="str">
        <x:v>已有：单连接正常关闭+密码副本清空</x:v>
      </x:c>
      <x:c r="X7" s="18" t="str">
        <x:v>全局单例，Close() 后重登不可靠；正式 Session API 未实现</x:v>
      </x:c>
      <x:c r="Y7" s="18" t="str"/>
    </x:row>
    <x:row r="8" ht="42" customHeight="1">
      <x:c r="A8" s="20" t="n">
        <x:v>4</x:v>
      </x:c>
      <x:c r="B8" s="18" t="str">
        <x:v>TGW C++ 开发手册</x:v>
      </x:c>
      <x:c r="C8" s="18" t="str">
        <x:v>25</x:v>
      </x:c>
      <x:c r="D8" s="18" t="str">
        <x:v>基础</x:v>
      </x:c>
      <x:c r="E8" s="18" t="str">
        <x:v>IGMDApi::FreeMemory(void*)</x:v>
      </x:c>
      <x:c r="F8" s="18" t="str">
        <x:v>IGMDApi::FreeMemory(void*)</x:v>
      </x:c>
      <x:c r="G8" s="18" t="str">
        <x:v>双模式</x:v>
      </x:c>
      <x:c r="H8" s="18" t="str">
        <x:v>是</x:v>
      </x:c>
      <x:c r="I8" s="18" t="str">
        <x:v>低</x:v>
      </x:c>
      <x:c r="J8" s="18" t="str">
        <x:v>ARM_IMPLEMENTED</x:v>
      </x:c>
      <x:c r="K8" s="19" t="n">
        <x:f>IFERROR(VLOOKUP(J8,'状态字典'!$A$5:$B$16,2,FALSE),0)</x:f>
        <x:v>70</x:v>
      </x:c>
      <x:c r="L8" s="18" t="str"/>
      <x:c r="M8" s="18" t="str">
        <x:v>未执行</x:v>
      </x:c>
      <x:c r="N8" s="18" t="str">
        <x:v>无</x:v>
      </x:c>
      <x:c r="O8" s="18" t="str">
        <x:v>2026-08-26</x:v>
      </x:c>
      <x:c r="P8" s="18" t="str">
        <x:v>已有实现；待同参 live</x:v>
      </x:c>
      <x:c r="Q8" s="18" t="str">
        <x:v>ARM_IMPLEMENTED(partial)（所有权语义未完整对齐）</x:v>
      </x:c>
      <x:c r="R8" s="18" t="str">
        <x:v>结构性测试即可；Linux oracle → wire → Mac → 同参</x:v>
      </x:c>
      <x:c r="S8" s="18" t="str">
        <x:v>回调数据指针</x:v>
      </x:c>
      <x:c r="T8" s="18" t="str">
        <x:v>无</x:v>
      </x:c>
      <x:c r="U8" s="18" t="str">
        <x:v>配合所有带指针回调</x:v>
      </x:c>
      <x:c r="V8" s="18" t="str">
        <x:v>docs/PDF_API_INVENTORY.md</x:v>
      </x:c>
      <x:c r="W8" s="18" t="str">
        <x:v>结构性测试即可</x:v>
      </x:c>
      <x:c r="X8" s="18" t="str">
        <x:v>回调数据所有权契约不完整；Python 侧无直接等价物</x:v>
      </x:c>
      <x:c r="Y8" s="18" t="str"/>
    </x:row>
    <x:row r="9" ht="42" customHeight="1">
      <x:c r="A9" s="20" t="n">
        <x:v>5</x:v>
      </x:c>
      <x:c r="B9" s="18" t="str">
        <x:v>TGW C++ 开发手册</x:v>
      </x:c>
      <x:c r="C9" s="18" t="str">
        <x:v>25</x:v>
      </x:c>
      <x:c r="D9" s="18" t="str">
        <x:v>基础</x:v>
      </x:c>
      <x:c r="E9" s="18" t="str">
        <x:v>IGMDApi::GetTaskID()</x:v>
      </x:c>
      <x:c r="F9" s="18" t="str">
        <x:v>IGMDApi::GetTaskID()</x:v>
      </x:c>
      <x:c r="G9" s="18" t="str">
        <x:v>双模式</x:v>
      </x:c>
      <x:c r="H9" s="18" t="str">
        <x:v>是</x:v>
      </x:c>
      <x:c r="I9" s="18" t="str">
        <x:v>低</x:v>
      </x:c>
      <x:c r="J9" s="18" t="str">
        <x:v>ARM_IMPLEMENTED</x:v>
      </x:c>
      <x:c r="K9" s="19" t="n">
        <x:f>IFERROR(VLOOKUP(J9,'状态字典'!$A$5:$B$16,2,FALSE),0)</x:f>
        <x:v>70</x:v>
      </x:c>
      <x:c r="L9" s="18" t="str"/>
      <x:c r="M9" s="18" t="str">
        <x:v>未执行</x:v>
      </x:c>
      <x:c r="N9" s="18" t="str">
        <x:v>格式规则</x:v>
      </x:c>
      <x:c r="O9" s="18" t="str">
        <x:v>2026-08-26</x:v>
      </x:c>
      <x:c r="P9" s="18" t="str">
        <x:v>已有实现；待同参 live</x:v>
      </x:c>
      <x:c r="Q9" s="18" t="str">
        <x:v>ARM_IMPLEMENTED（单进程递增整数）</x:v>
      </x:c>
      <x:c r="R9" s="18" t="str">
        <x:v>并发唯一性测试；Linux oracle → wire → Mac → 同参</x:v>
      </x:c>
      <x:c r="S9" s="18" t="str">
        <x:v>无</x:v>
      </x:c>
      <x:c r="T9" s="18" t="str">
        <x:v>int64（MMDDHHmmSS+序号1~1000000）</x:v>
      </x:c>
      <x:c r="U9" s="18" t="str">
        <x:v>无</x:v>
      </x:c>
      <x:c r="V9" s="18" t="str">
        <x:v>docs/PDF_API_INVENTORY.md</x:v>
      </x:c>
      <x:c r="W9" s="18" t="str">
        <x:v>并发唯一性测试</x:v>
      </x:c>
      <x:c r="X9" s="18" t="str">
        <x:v>无锁；格式与官方 MMDDHHmmSS 规则未同参对照</x:v>
      </x:c>
      <x:c r="Y9" s="18" t="str"/>
    </x:row>
    <x:row r="10" ht="42" customHeight="1">
      <x:c r="A10" s="20" t="n">
        <x:v>6</x:v>
      </x:c>
      <x:c r="B10" s="18" t="str">
        <x:v>TGW C++ 开发手册</x:v>
      </x:c>
      <x:c r="C10" s="18" t="str">
        <x:v>25</x:v>
      </x:c>
      <x:c r="D10" s="18" t="str">
        <x:v>基础（写操作）</x:v>
      </x:c>
      <x:c r="E10" s="18" t="str">
        <x:v>UpdatePassWord(UpdatePassWordReq)</x:v>
      </x:c>
      <x:c r="F10" s="18" t="str">
        <x:v>UpdatePassWord(UpdatePassWordReq)</x:v>
      </x:c>
      <x:c r="G10" s="18" t="str">
        <x:v>双模式（托管需 TCP 通道）</x:v>
      </x:c>
      <x:c r="H10" s="18" t="str">
        <x:v>禁止默认执行</x:v>
      </x:c>
      <x:c r="I10" s="18" t="str">
        <x:v>高</x:v>
      </x:c>
      <x:c r="J10" s="18" t="str">
        <x:v>INVENTORIED</x:v>
      </x:c>
      <x:c r="K10" s="19" t="n">
        <x:f>IFERROR(VLOOKUP(J10,'状态字典'!$A$5:$B$16,2,FALSE),0)</x:f>
        <x:v>10</x:v>
      </x:c>
      <x:c r="L10" s="18" t="str"/>
      <x:c r="M10" s="18" t="str">
        <x:v>未执行</x:v>
      </x:c>
      <x:c r="N10" s="18" t="str">
        <x:v>kTimeoutExit 语义特殊</x:v>
      </x:c>
      <x:c r="O10" s="18" t="str"/>
      <x:c r="P10" s="18" t="str">
        <x:v>待实现/复验</x:v>
      </x:c>
      <x:c r="Q10" s="18" t="str">
        <x:v>INVENTORIED(不实现、不执行)</x:v>
      </x:c>
      <x:c r="R10" s="18" t="str">
        <x:v>无——除非用户对该写操作单独授权；Linux oracle → wire → Mac → 同参</x:v>
      </x:c>
      <x:c r="S10" s="18" t="str">
        <x:v>UpdatePassWordReq{username[32],old_password[64],new_password[64]}</x:v>
      </x:c>
      <x:c r="T10" s="18" t="str">
        <x:v>int32 错误码</x:v>
      </x:c>
      <x:c r="U10" s="18" t="str">
        <x:v>无</x:v>
      </x:c>
      <x:c r="V10" s="18" t="str">
        <x:v>docs/PDF_API_INVENTORY.md</x:v>
      </x:c>
      <x:c r="W10" s="18" t="str">
        <x:v>无——除非用户对该写操作单独授权</x:v>
      </x:c>
      <x:c r="X10" s="18" t="str">
        <x:v>凭据类写操作；误触发会变更账号口令</x:v>
      </x:c>
      <x:c r="Y10" s="18" t="str"/>
    </x:row>
    <x:row r="11" ht="42" customHeight="1">
      <x:c r="A11" s="20" t="n">
        <x:v>7</x:v>
      </x:c>
      <x:c r="B11" s="18" t="str">
        <x:v>TGW C++ 开发手册</x:v>
      </x:c>
      <x:c r="C11" s="18" t="str">
        <x:v>25–26</x:v>
      </x:c>
      <x:c r="D11" s="18" t="str">
        <x:v>订阅</x:v>
      </x:c>
      <x:c r="E11" s="18" t="str">
        <x:v>Subscribe(SubscribeItem*,cnt)</x:v>
      </x:c>
      <x:c r="F11" s="18" t="str">
        <x:v>Subscribe(SubscribeItem*,cnt)</x:v>
      </x:c>
      <x:c r="G11" s="18" t="str">
        <x:v>双模式</x:v>
      </x:c>
      <x:c r="H11" s="18" t="str">
        <x:v>否（待开盘）</x:v>
      </x:c>
      <x:c r="I11" s="18" t="str">
        <x:v>中</x:v>
      </x:c>
      <x:c r="J11" s="18" t="str">
        <x:v>LIVE_ALIGNED</x:v>
      </x:c>
      <x:c r="K11" s="19" t="n">
        <x:f>IFERROR(VLOOKUP(J11,'状态字典'!$A$5:$B$16,2,FALSE),0)</x:f>
        <x:v>85</x:v>
      </x:c>
      <x:c r="L11" s="18" t="str">
        <x:v>2026-08-26</x:v>
      </x:c>
      <x:c r="M11" s="18" t="str">
        <x:v>已有脱敏证据；严格限于状态所述子范围</x:v>
      </x:c>
      <x:c r="N11" s="18" t="str">
        <x:v>MarketType,SubscribeDataType,VarietyCategory</x:v>
      </x:c>
      <x:c r="O11" s="18" t="str">
        <x:v>2026-08-26</x:v>
      </x:c>
      <x:c r="P11" s="18" t="str">
        <x:v>已有 Mac 子范围证据</x:v>
      </x:c>
      <x:c r="Q11" s="18" t="str">
        <x:v>LIVE_ALIGNED(raw full/delta): flag 10→wire14 SZSE 159518; flag 12→wire16 HKT 02800.SH(SSE路由)</x:v>
      </x:c>
      <x:c r="R11" s="18" t="str">
        <x:v>已有；扩展须一次一个 flag/市场；Linux oracle → wire → Mac → 同参</x:v>
      </x:c>
      <x:c r="S11" s="18" t="str">
        <x:v>SubscribeItem{u8 market,u64 flag,char[32] code,u8 category} pack(1)=42</x:v>
      </x:c>
      <x:c r="T11" s="18" t="str">
        <x:v>int32 错误码；数据走推送</x:v>
      </x:c>
      <x:c r="U11" s="18" t="str">
        <x:v>见 #16–#31</x:v>
      </x:c>
      <x:c r="V11" s="18" t="str">
        <x:v>docs/PDF_API_INVENTORY.md</x:v>
      </x:c>
      <x:c r="W11" s="18" t="str">
        <x:v>已有；扩展须一次一个 flag/市场</x:v>
      </x:c>
      <x:c r="X11" s="18" t="str">
        <x:v>公共值≠wire 值（仅证明 10→14、12→16）；其余 flag 未验证必须显式失败；订阅数量限制未知</x:v>
      </x:c>
      <x:c r="Y11" s="18" t="str"/>
    </x:row>
    <x:row r="12" ht="42" customHeight="1">
      <x:c r="A12" s="20" t="n">
        <x:v>8</x:v>
      </x:c>
      <x:c r="B12" s="18" t="str">
        <x:v>TGW C++ 开发手册</x:v>
      </x:c>
      <x:c r="C12" s="18" t="str">
        <x:v>26</x:v>
      </x:c>
      <x:c r="D12" s="18" t="str">
        <x:v>订阅</x:v>
      </x:c>
      <x:c r="E12" s="18" t="str">
        <x:v>UnSubscribe(item,cnt)</x:v>
      </x:c>
      <x:c r="F12" s="18" t="str">
        <x:v>UnSubscribe(item,cnt)</x:v>
      </x:c>
      <x:c r="G12" s="18" t="str">
        <x:v>双模式</x:v>
      </x:c>
      <x:c r="H12" s="18" t="str">
        <x:v>是</x:v>
      </x:c>
      <x:c r="I12" s="18" t="str">
        <x:v>中</x:v>
      </x:c>
      <x:c r="J12" s="18" t="str">
        <x:v>LIVE_ALIGNED</x:v>
      </x:c>
      <x:c r="K12" s="19" t="n">
        <x:f>IFERROR(VLOOKUP(J12,'状态字典'!$A$5:$B$16,2,FALSE),0)</x:f>
        <x:v>85</x:v>
      </x:c>
      <x:c r="L12" s="18" t="str">
        <x:v>2026-08-26</x:v>
      </x:c>
      <x:c r="M12" s="18" t="str">
        <x:v>已有脱敏证据；严格限于状态所述子范围</x:v>
      </x:c>
      <x:c r="N12" s="18" t="str">
        <x:v>同上</x:v>
      </x:c>
      <x:c r="O12" s="18" t="str">
        <x:v>2026-08-26</x:v>
      </x:c>
      <x:c r="P12" s="18" t="str">
        <x:v>已有 Mac 子范围证据</x:v>
      </x:c>
      <x:c r="Q12" s="18" t="str">
        <x:v>ETF LIVE_ALIGNED；HKT basic observed</x:v>
      </x:c>
      <x:c r="R12" s="18" t="str">
        <x:v>已有：ETF 正常取消；Linux oracle → wire → Mac → 同参</x:v>
      </x:c>
      <x:c r="S12" s="18" t="str">
        <x:v>同 SubscribeItem</x:v>
      </x:c>
      <x:c r="T12" s="18" t="str">
        <x:v>int32 错误码</x:v>
      </x:c>
      <x:c r="U12" s="18" t="str">
        <x:v>无</x:v>
      </x:c>
      <x:c r="V12" s="18" t="str">
        <x:v>docs/PDF_API_INVENTORY.md</x:v>
      </x:c>
      <x:c r="W12" s="18" t="str">
        <x:v>已有：ETF 正常取消</x:v>
      </x:c>
      <x:c r="X12" s="18" t="str">
        <x:v>HKT 取消路径只有清理期观测记录</x:v>
      </x:c>
      <x:c r="Y12" s="18" t="str"/>
    </x:row>
    <x:row r="13" ht="42" customHeight="1">
      <x:c r="A13" s="20" t="n">
        <x:v>9</x:v>
      </x:c>
      <x:c r="B13" s="18" t="str">
        <x:v>TGW C++ 开发手册</x:v>
      </x:c>
      <x:c r="C13" s="18" t="str">
        <x:v>26</x:v>
      </x:c>
      <x:c r="D13" s="18" t="str">
        <x:v>订阅</x:v>
      </x:c>
      <x:c r="E13" s="18" t="str">
        <x:v>SubFactor(SubFactorItem*,cnt)</x:v>
      </x:c>
      <x:c r="F13" s="18" t="str">
        <x:v>SubFactor(SubFactorItem*,cnt)</x:v>
      </x:c>
      <x:c r="G13" s="18" t="str">
        <x:v>双模式</x:v>
      </x:c>
      <x:c r="H13" s="18" t="str">
        <x:v>否（待开盘）</x:v>
      </x:c>
      <x:c r="I13" s="18" t="str">
        <x:v>中</x:v>
      </x:c>
      <x:c r="J13" s="18" t="str">
        <x:v>INVENTORIED</x:v>
      </x:c>
      <x:c r="K13" s="19" t="n">
        <x:f>IFERROR(VLOOKUP(J13,'状态字典'!$A$5:$B$16,2,FALSE),0)</x:f>
        <x:v>10</x:v>
      </x:c>
      <x:c r="L13" s="18" t="str"/>
      <x:c r="M13" s="18" t="str">
        <x:v>未执行</x:v>
      </x:c>
      <x:c r="N13" s="18" t="str">
        <x:v>全订阅仅 all/all/all、xxx/all/all、xxx/xxx/all 三种</x:v>
      </x:c>
      <x:c r="O13" s="18" t="str"/>
      <x:c r="P13" s="18" t="str">
        <x:v>待实现/复验</x:v>
      </x:c>
      <x:c r="Q13" s="18" t="str">
        <x:v>INVENTORIED</x:v>
      </x:c>
      <x:c r="R13" s="18" t="str">
        <x:v>单一已知父类型的极短订阅（需先确认账号权限）；Linux oracle → wire → Mac → 同参</x:v>
      </x:c>
      <x:c r="S13" s="18" t="str">
        <x:v>SubFactorItem{factor_type[64],sub_type[64],name[64],code[32],market,category}（HDR 多出后三字段）</x:v>
      </x:c>
      <x:c r="T13" s="18" t="str">
        <x:v>int32；数据走 OnFactor</x:v>
      </x:c>
      <x:c r="U13" s="18" t="str">
        <x:v>OnFactor(Factor*)</x:v>
      </x:c>
      <x:c r="V13" s="18" t="str">
        <x:v>docs/PDF_API_INVENTORY.md</x:v>
      </x:c>
      <x:c r="W13" s="18" t="str">
        <x:v>单一已知父类型的极短订阅（需先确认账号权限）</x:v>
      </x:c>
      <x:c r="X13" s="18" t="str">
        <x:v>因子目录无公开枚举；HDR 与 PDF 的 Item 字段集不一致（PDF 少 code/market/category）</x:v>
      </x:c>
      <x:c r="Y13" s="18" t="str"/>
    </x:row>
    <x:row r="14" ht="42" customHeight="1">
      <x:c r="A14" s="20" t="n">
        <x:v>10</x:v>
      </x:c>
      <x:c r="B14" s="18" t="str">
        <x:v>TGW C++ 开发手册</x:v>
      </x:c>
      <x:c r="C14" s="18" t="str">
        <x:v>27</x:v>
      </x:c>
      <x:c r="D14" s="18" t="str">
        <x:v>订阅</x:v>
      </x:c>
      <x:c r="E14" s="18" t="str">
        <x:v>UnSubFactor(item,cnt)</x:v>
      </x:c>
      <x:c r="F14" s="18" t="str">
        <x:v>UnSubFactor(item,cnt)</x:v>
      </x:c>
      <x:c r="G14" s="18" t="str">
        <x:v>双模式</x:v>
      </x:c>
      <x:c r="H14" s="18" t="str">
        <x:v>是</x:v>
      </x:c>
      <x:c r="I14" s="18" t="str">
        <x:v>中</x:v>
      </x:c>
      <x:c r="J14" s="18" t="str">
        <x:v>INVENTORIED</x:v>
      </x:c>
      <x:c r="K14" s="19" t="n">
        <x:f>IFERROR(VLOOKUP(J14,'状态字典'!$A$5:$B$16,2,FALSE),0)</x:f>
        <x:v>10</x:v>
      </x:c>
      <x:c r="L14" s="18" t="str"/>
      <x:c r="M14" s="18" t="str">
        <x:v>未执行</x:v>
      </x:c>
      <x:c r="N14" s="18" t="str">
        <x:v>取消全订阅同样三种方式</x:v>
      </x:c>
      <x:c r="O14" s="18" t="str"/>
      <x:c r="P14" s="18" t="str">
        <x:v>待实现/复验</x:v>
      </x:c>
      <x:c r="Q14" s="18" t="str">
        <x:v>INVENTORIED</x:v>
      </x:c>
      <x:c r="R14" s="18" t="str">
        <x:v>与 #9 成对；Linux oracle → wire → Mac → 同参</x:v>
      </x:c>
      <x:c r="S14" s="18" t="str">
        <x:v>同 #9</x:v>
      </x:c>
      <x:c r="T14" s="18" t="str">
        <x:v>int32</x:v>
      </x:c>
      <x:c r="U14" s="18" t="str">
        <x:v>无</x:v>
      </x:c>
      <x:c r="V14" s="18" t="str">
        <x:v>docs/PDF_API_INVENTORY.md</x:v>
      </x:c>
      <x:c r="W14" s="18" t="str">
        <x:v>与 #9 成对</x:v>
      </x:c>
      <x:c r="X14" s="18" t="str">
        <x:v>同 #9</x:v>
      </x:c>
      <x:c r="Y14" s="18" t="str"/>
    </x:row>
    <x:row r="15" ht="42" customHeight="1">
      <x:c r="A15" s="20" t="n">
        <x:v>11</x:v>
      </x:c>
      <x:c r="B15" s="18" t="str">
        <x:v>TGW C++ 开发手册</x:v>
      </x:c>
      <x:c r="C15" s="18" t="str">
        <x:v>27–28</x:v>
      </x:c>
      <x:c r="D15" s="18" t="str">
        <x:v>订阅</x:v>
      </x:c>
      <x:c r="E15" s="18" t="str">
        <x:v>SubscribeDerivedData(type,dtype,item,cnt)</x:v>
      </x:c>
      <x:c r="F15" s="18" t="str">
        <x:v>SubscribeDerivedData(type,dtype,item,cnt)</x:v>
      </x:c>
      <x:c r="G15" s="18" t="str">
        <x:v>仅托管机房</x:v>
      </x:c>
      <x:c r="H15" s="18" t="str">
        <x:v>否（模式不适用）</x:v>
      </x:c>
      <x:c r="I15" s="18" t="str">
        <x:v>中</x:v>
      </x:c>
      <x:c r="J15" s="18" t="str">
        <x:v>OUT_OF_SCOPE_COLOC</x:v>
      </x:c>
      <x:c r="K15" s="19" t="n">
        <x:f>IFERROR(VLOOKUP(J15,'状态字典'!$A$5:$B$16,2,FALSE),0)</x:f>
        <x:v>0</x:v>
      </x:c>
      <x:c r="L15" s="18" t="str"/>
      <x:c r="M15" s="18" t="str">
        <x:v>未执行</x:v>
      </x:c>
      <x:c r="N15" s="18" t="str">
        <x:v>SubscribeType kSet/kAdd/kDel/kCancelAll=0..3；dtype 1委托簿/2委托簿快照</x:v>
      </x:c>
      <x:c r="O15" s="18" t="str"/>
      <x:c r="P15" s="18" t="str">
        <x:v>待实现/复验</x:v>
      </x:c>
      <x:c r="Q15" s="18" t="str">
        <x:v>OUT_OF_SCOPE_COLOC</x:v>
      </x:c>
      <x:c r="R15" s="18" t="str">
        <x:v>无；Linux oracle → wire → Mac → 同参</x:v>
      </x:c>
      <x:c r="S15" s="18" t="str">
        <x:v>SubscribeDerivedDataItem{i32 market,char[16] code}</x:v>
      </x:c>
      <x:c r="T15" s="18" t="str">
        <x:v>int32</x:v>
      </x:c>
      <x:c r="U15" s="18" t="str">
        <x:v>OnMDOrderBook/OnMDOrderBookSnapshot</x:v>
      </x:c>
      <x:c r="V15" s="18" t="str">
        <x:v>docs/PDF_API_INVENTORY.md</x:v>
      </x:c>
      <x:c r="W15" s="18" t="str">
        <x:v>无</x:v>
      </x:c>
      <x:c r="X15" s="18" t="str">
        <x:v>托管机房限定；SSE/SZSE 以外市场不支持</x:v>
      </x:c>
      <x:c r="Y15" s="18" t="str"/>
    </x:row>
    <x:row r="16" ht="42" customHeight="1">
      <x:c r="A16" s="20" t="n">
        <x:v>12</x:v>
      </x:c>
      <x:c r="B16" s="18" t="str">
        <x:v>TGW C++ 开发手册</x:v>
      </x:c>
      <x:c r="C16" s="18" t="str">
        <x:v>28</x:v>
      </x:c>
      <x:c r="D16" s="18" t="str">
        <x:v>推送回调</x:v>
      </x:c>
      <x:c r="E16" s="18" t="str">
        <x:v>OnLog(level,log,len)</x:v>
      </x:c>
      <x:c r="F16" s="18" t="str">
        <x:v>OnLog(level,log,len)</x:v>
      </x:c>
      <x:c r="G16" s="18" t="str">
        <x:v>双模式</x:v>
      </x:c>
      <x:c r="H16" s="18" t="str">
        <x:v>是</x:v>
      </x:c>
      <x:c r="I16" s="18" t="str">
        <x:v>低</x:v>
      </x:c>
      <x:c r="J16" s="18" t="str">
        <x:v>ARM_IMPLEMENTED</x:v>
      </x:c>
      <x:c r="K16" s="19" t="n">
        <x:f>IFERROR(VLOOKUP(J16,'状态字典'!$A$5:$B$16,2,FALSE),0)</x:f>
        <x:v>70</x:v>
      </x:c>
      <x:c r="L16" s="18" t="str"/>
      <x:c r="M16" s="18" t="str">
        <x:v>未执行</x:v>
      </x:c>
      <x:c r="N16" s="18" t="str">
        <x:v>LogLevel 0..5</x:v>
      </x:c>
      <x:c r="O16" s="18" t="str">
        <x:v>2026-08-26</x:v>
      </x:c>
      <x:c r="P16" s="18" t="str">
        <x:v>已有实现；待同参 live</x:v>
      </x:c>
      <x:c r="Q16" s="18" t="str">
        <x:v>ARM_IMPLEMENTED(on_log SPI)</x:v>
      </x:c>
      <x:c r="R16" s="18" t="str">
        <x:v>已有；Linux oracle → wire → Mac → 同参</x:v>
      </x:c>
      <x:c r="S16" s="18" t="str">
        <x:v>无</x:v>
      </x:c>
      <x:c r="T16" s="18" t="str">
        <x:v>日志</x:v>
      </x:c>
      <x:c r="U16" s="18" t="str">
        <x:v>本身</x:v>
      </x:c>
      <x:c r="V16" s="18" t="str">
        <x:v>docs/PDF_API_INVENTORY.md</x:v>
      </x:c>
      <x:c r="W16" s="18" t="str">
        <x:v>已有</x:v>
      </x:c>
      <x:c r="X16" s="18" t="str">
        <x:v>非官方完整日志 SPI</x:v>
      </x:c>
      <x:c r="Y16" s="18" t="str"/>
    </x:row>
    <x:row r="17" ht="42" customHeight="1">
      <x:c r="A17" s="20" t="n">
        <x:v>13</x:v>
      </x:c>
      <x:c r="B17" s="18" t="str">
        <x:v>TGW C++ 开发手册</x:v>
      </x:c>
      <x:c r="C17" s="18" t="str">
        <x:v>28</x:v>
      </x:c>
      <x:c r="D17" s="18" t="str">
        <x:v>推送回调</x:v>
      </x:c>
      <x:c r="E17" s="18" t="str">
        <x:v>OnEvent(level,code,msg,len)</x:v>
      </x:c>
      <x:c r="F17" s="18" t="str">
        <x:v>OnEvent(level,code,msg,len)</x:v>
      </x:c>
      <x:c r="G17" s="18" t="str">
        <x:v>仅托管机房</x:v>
      </x:c>
      <x:c r="H17" s="18" t="str">
        <x:v>否（模式不适用）</x:v>
      </x:c>
      <x:c r="I17" s="18" t="str">
        <x:v>低</x:v>
      </x:c>
      <x:c r="J17" s="18" t="str">
        <x:v>OUT_OF_SCOPE_COLOC</x:v>
      </x:c>
      <x:c r="K17" s="19" t="n">
        <x:f>IFERROR(VLOOKUP(J17,'状态字典'!$A$5:$B$16,2,FALSE),0)</x:f>
        <x:v>0</x:v>
      </x:c>
      <x:c r="L17" s="18" t="str"/>
      <x:c r="M17" s="18" t="str">
        <x:v>未执行</x:v>
      </x:c>
      <x:c r="N17" s="18" t="str">
        <x:v>EventLevel 1..3</x:v>
      </x:c>
      <x:c r="O17" s="18" t="str"/>
      <x:c r="P17" s="18" t="str">
        <x:v>待实现/复验</x:v>
      </x:c>
      <x:c r="Q17" s="18" t="str">
        <x:v>OUT_OF_SCOPE_COLOC</x:v>
      </x:c>
      <x:c r="R17" s="18" t="str">
        <x:v>无；Linux oracle → wire → Mac → 同参</x:v>
      </x:c>
      <x:c r="S17" s="18" t="str">
        <x:v>无</x:v>
      </x:c>
      <x:c r="T17" s="18" t="str">
        <x:v>事件</x:v>
      </x:c>
      <x:c r="U17" s="18" t="str">
        <x:v>本身</x:v>
      </x:c>
      <x:c r="V17" s="18" t="str">
        <x:v>docs/PDF_API_INVENTORY.md</x:v>
      </x:c>
      <x:c r="W17" s="18" t="str">
        <x:v>无</x:v>
      </x:c>
      <x:c r="X17" s="18" t="str">
        <x:v>连接状态事件在互联网模式的对应机制未取证（Mac 重连依赖进程监管）</x:v>
      </x:c>
      <x:c r="Y17" s="18" t="str"/>
    </x:row>
    <x:row r="18" ht="42" customHeight="1">
      <x:c r="A18" s="20" t="n">
        <x:v>14</x:v>
      </x:c>
      <x:c r="B18" s="18" t="str">
        <x:v>TGW C++ 开发手册</x:v>
      </x:c>
      <x:c r="C18" s="18" t="str">
        <x:v>28–29</x:v>
      </x:c>
      <x:c r="D18" s="18" t="str">
        <x:v>推送回调</x:v>
      </x:c>
      <x:c r="E18" s="18" t="str">
        <x:v>OnIndicator(indicator,len)</x:v>
      </x:c>
      <x:c r="F18" s="18" t="str">
        <x:v>OnIndicator(indicator,len)</x:v>
      </x:c>
      <x:c r="G18" s="18" t="str">
        <x:v>仅托管机房</x:v>
      </x:c>
      <x:c r="H18" s="18" t="str">
        <x:v>否（模式不适用）</x:v>
      </x:c>
      <x:c r="I18" s="18" t="str">
        <x:v>低</x:v>
      </x:c>
      <x:c r="J18" s="18" t="str">
        <x:v>OUT_OF_SCOPE_COLOC</x:v>
      </x:c>
      <x:c r="K18" s="19" t="n">
        <x:f>IFERROR(VLOOKUP(J18,'状态字典'!$A$5:$B$16,2,FALSE),0)</x:f>
        <x:v>0</x:v>
      </x:c>
      <x:c r="L18" s="18" t="str"/>
      <x:c r="M18" s="18" t="str">
        <x:v>未执行</x:v>
      </x:c>
      <x:c r="N18" s="18" t="str">
        <x:v>无</x:v>
      </x:c>
      <x:c r="O18" s="18" t="str"/>
      <x:c r="P18" s="18" t="str">
        <x:v>待实现/复验</x:v>
      </x:c>
      <x:c r="Q18" s="18" t="str">
        <x:v>OUT_OF_SCOPE_COLOC</x:v>
      </x:c>
      <x:c r="R18" s="18" t="str">
        <x:v>无；Linux oracle → wire → Mac → 同参</x:v>
      </x:c>
      <x:c r="S18" s="18" t="str">
        <x:v>无</x:v>
      </x:c>
      <x:c r="T18" s="18" t="str">
        <x:v>JSON 串</x:v>
      </x:c>
      <x:c r="U18" s="18" t="str">
        <x:v>本身</x:v>
      </x:c>
      <x:c r="V18" s="18" t="str">
        <x:v>docs/PDF_API_INVENTORY.md</x:v>
      </x:c>
      <x:c r="W18" s="18" t="str">
        <x:v>无</x:v>
      </x:c>
      <x:c r="X18" s="18" t="str">
        <x:v>—</x:v>
      </x:c>
      <x:c r="Y18" s="18" t="str"/>
    </x:row>
    <x:row r="19" ht="42" customHeight="1">
      <x:c r="A19" s="20" t="n">
        <x:v>15</x:v>
      </x:c>
      <x:c r="B19" s="18" t="str">
        <x:v>TGW C++ 开发手册</x:v>
      </x:c>
      <x:c r="C19" s="18" t="str">
        <x:v>29</x:v>
      </x:c>
      <x:c r="D19" s="18" t="str">
        <x:v>推送回调</x:v>
      </x:c>
      <x:c r="E19" s="18" t="str">
        <x:v>OnLogon(LogonResponse*)</x:v>
      </x:c>
      <x:c r="F19" s="18" t="str">
        <x:v>OnLogon(LogonResponse*)</x:v>
      </x:c>
      <x:c r="G19" s="18" t="str">
        <x:v>双模式</x:v>
      </x:c>
      <x:c r="H19" s="18" t="str">
        <x:v>否（模式不适用）</x:v>
      </x:c>
      <x:c r="I19" s="18" t="str">
        <x:v>低</x:v>
      </x:c>
      <x:c r="J19" s="18" t="str">
        <x:v>LIVE_ALIGNED</x:v>
      </x:c>
      <x:c r="K19" s="19" t="n">
        <x:f>IFERROR(VLOOKUP(J19,'状态字典'!$A$5:$B$16,2,FALSE),0)</x:f>
        <x:v>85</x:v>
      </x:c>
      <x:c r="L19" s="18" t="str">
        <x:v>2026-08-26</x:v>
      </x:c>
      <x:c r="M19" s="18" t="str">
        <x:v>已有脱敏证据；严格限于状态所述子范围</x:v>
      </x:c>
      <x:c r="N19" s="18" t="str">
        <x:v>api_mode 1托管/2互联网</x:v>
      </x:c>
      <x:c r="O19" s="18" t="str">
        <x:v>2026-08-26</x:v>
      </x:c>
      <x:c r="P19" s="18" t="str">
        <x:v>已有 Mac 子范围证据</x:v>
      </x:c>
      <x:c r="Q19" s="18" t="str">
        <x:v>LIVE_ALIGNED(internet login)</x:v>
      </x:c>
      <x:c r="R19" s="18" t="str">
        <x:v>已有；Linux oracle → wire → Mac → 同参</x:v>
      </x:c>
      <x:c r="S19" s="18" t="str">
        <x:v>无</x:v>
      </x:c>
      <x:c r="T19" s="18" t="str">
        <x:v>{api_mode u16, logon_msg_len u32, logon_json char*}</x:v>
      </x:c>
      <x:c r="U19" s="18" t="str">
        <x:v>本身</x:v>
      </x:c>
      <x:c r="V19" s="18" t="str">
        <x:v>docs/PDF_API_INVENTORY.md</x:v>
      </x:c>
      <x:c r="W19" s="18" t="str">
        <x:v>已有</x:v>
      </x:c>
      <x:c r="X19" s="18" t="str">
        <x:v>logon_json 内容字段未完整建档（含 token，禁止落盘）</x:v>
      </x:c>
      <x:c r="Y19" s="18" t="str"/>
    </x:row>
    <x:row r="20" ht="42" customHeight="1">
      <x:c r="A20" s="20" t="n">
        <x:v>16</x:v>
      </x:c>
      <x:c r="B20" s="18" t="str">
        <x:v>TGW C++ 开发手册</x:v>
      </x:c>
      <x:c r="C20" s="18" t="str">
        <x:v>29</x:v>
      </x:c>
      <x:c r="D20" s="18" t="str">
        <x:v>推送回调</x:v>
      </x:c>
      <x:c r="E20" s="18" t="str">
        <x:v>OnMDSnapshot(MDSnapshotL1*,cnt)</x:v>
      </x:c>
      <x:c r="F20" s="18" t="str">
        <x:v>OnMDSnapshot(MDSnapshotL1*,cnt)</x:v>
      </x:c>
      <x:c r="G20" s="18" t="str">
        <x:v>仅互联网</x:v>
      </x:c>
      <x:c r="H20" s="18" t="str">
        <x:v>否（待开盘）</x:v>
      </x:c>
      <x:c r="I20" s="18" t="str">
        <x:v>低</x:v>
      </x:c>
      <x:c r="J20" s="18" t="str">
        <x:v>LIVE_ALIGNED</x:v>
      </x:c>
      <x:c r="K20" s="19" t="n">
        <x:f>IFERROR(VLOOKUP(J20,'状态字典'!$A$5:$B$16,2,FALSE),0)</x:f>
        <x:v>85</x:v>
      </x:c>
      <x:c r="L20" s="18" t="str">
        <x:v>2026-08-26</x:v>
      </x:c>
      <x:c r="M20" s="18" t="str">
        <x:v>已有脱敏证据；严格限于状态所述子范围</x:v>
      </x:c>
      <x:c r="N20" s="18" t="str">
        <x:v>wire tag 14</x:v>
      </x:c>
      <x:c r="O20" s="18" t="str">
        <x:v>2026-08-26</x:v>
      </x:c>
      <x:c r="P20" s="18" t="str">
        <x:v>已有 Mac 子范围证据</x:v>
      </x:c>
      <x:c r="Q20" s="18" t="str">
        <x:v>LIVE_ALIGNED(raw)；类型化字段映射 CHANGES_REQUESTED</x:v>
      </x:c>
      <x:c r="R20" s="18" t="str">
        <x:v>已有 60s ETF；Linux oracle → wire → Mac → 同参</x:v>
      </x:c>
      <x:c r="S20" s="18" t="str">
        <x:v>订阅 flag=10</x:v>
      </x:c>
      <x:c r="T20" s="18" t="str">
        <x:v>MDSnapshotL1（约57字段，价格÷1e6、量÷100、额÷1e5）</x:v>
      </x:c>
      <x:c r="U20" s="18" t="str">
        <x:v>本身</x:v>
      </x:c>
      <x:c r="V20" s="18" t="str">
        <x:v>docs/PDF_API_INVENTORY.md</x:v>
      </x:c>
      <x:c r="W20" s="18" t="str">
        <x:v>已有 60s ETF</x:v>
      </x:c>
      <x:c r="X20" s="18" t="str">
        <x:v>数字 key→结构体映射、缩放、多标的隔离未完成；delta 不由 SDK 合并</x:v>
      </x:c>
      <x:c r="Y20" s="18" t="str"/>
    </x:row>
    <x:row r="21" ht="42" customHeight="1">
      <x:c r="A21" s="20" t="n">
        <x:v>17</x:v>
      </x:c>
      <x:c r="B21" s="18" t="str">
        <x:v>TGW C++ 开发手册</x:v>
      </x:c>
      <x:c r="C21" s="18" t="str">
        <x:v>29</x:v>
      </x:c>
      <x:c r="D21" s="18" t="str">
        <x:v>推送回调</x:v>
      </x:c>
      <x:c r="E21" s="18" t="str">
        <x:v>OnMDIndexSnapshot(MDIndexSnapshot*,cnt)</x:v>
      </x:c>
      <x:c r="F21" s="18" t="str">
        <x:v>OnMDIndexSnapshot(MDIndexSnapshot*,cnt)</x:v>
      </x:c>
      <x:c r="G21" s="18" t="str">
        <x:v>仅互联网</x:v>
      </x:c>
      <x:c r="H21" s="18" t="str">
        <x:v>否（待开盘）</x:v>
      </x:c>
      <x:c r="I21" s="18" t="str">
        <x:v>低</x:v>
      </x:c>
      <x:c r="J21" s="18" t="str">
        <x:v>INVENTORIED</x:v>
      </x:c>
      <x:c r="K21" s="19" t="n">
        <x:f>IFERROR(VLOOKUP(J21,'状态字典'!$A$5:$B$16,2,FALSE),0)</x:f>
        <x:v>10</x:v>
      </x:c>
      <x:c r="L21" s="18" t="str"/>
      <x:c r="M21" s="18" t="str">
        <x:v>未执行</x:v>
      </x:c>
      <x:c r="N21" s="18" t="str">
        <x:v>wire tag 未取证</x:v>
      </x:c>
      <x:c r="O21" s="18" t="str"/>
      <x:c r="P21" s="18" t="str">
        <x:v>待实现/复验</x:v>
      </x:c>
      <x:c r="Q21" s="18" t="str">
        <x:v>INVENTORIED</x:v>
      </x:c>
      <x:c r="R21" s="18" t="str">
        <x:v>沪指单代码 30 秒；Linux oracle → wire → Mac → 同参</x:v>
      </x:c>
      <x:c r="S21" s="18" t="str">
        <x:v>flag=13</x:v>
      </x:c>
      <x:c r="T21" s="18" t="str">
        <x:v>MDIndexSnapshot</x:v>
      </x:c>
      <x:c r="U21" s="18" t="str">
        <x:v>本身</x:v>
      </x:c>
      <x:c r="V21" s="18" t="str">
        <x:v>docs/PDF_API_INVENTORY.md</x:v>
      </x:c>
      <x:c r="W21" s="18" t="str">
        <x:v>沪指单代码 30 秒</x:v>
      </x:c>
      <x:c r="X21" s="18" t="str">
        <x:v>指数 wire tag/枚举转换未取证</x:v>
      </x:c>
      <x:c r="Y21" s="18" t="str"/>
    </x:row>
    <x:row r="22" ht="42" customHeight="1">
      <x:c r="A22" s="20" t="n">
        <x:v>18</x:v>
      </x:c>
      <x:c r="B22" s="18" t="str">
        <x:v>TGW C++ 开发手册</x:v>
      </x:c>
      <x:c r="C22" s="18" t="str">
        <x:v>29–30</x:v>
      </x:c>
      <x:c r="D22" s="18" t="str">
        <x:v>推送回调</x:v>
      </x:c>
      <x:c r="E22" s="18" t="str">
        <x:v>OnMDOptionSnapshot(MDOptionSnapshot*,cnt)</x:v>
      </x:c>
      <x:c r="F22" s="18" t="str">
        <x:v>OnMDOptionSnapshot(MDOptionSnapshot*,cnt)</x:v>
      </x:c>
      <x:c r="G22" s="18" t="str">
        <x:v>仅互联网</x:v>
      </x:c>
      <x:c r="H22" s="18" t="str">
        <x:v>否（待开盘）</x:v>
      </x:c>
      <x:c r="I22" s="18" t="str">
        <x:v>低</x:v>
      </x:c>
      <x:c r="J22" s="18" t="str">
        <x:v>INVENTORIED</x:v>
      </x:c>
      <x:c r="K22" s="19" t="n">
        <x:f>IFERROR(VLOOKUP(J22,'状态字典'!$A$5:$B$16,2,FALSE),0)</x:f>
        <x:v>10</x:v>
      </x:c>
      <x:c r="L22" s="18" t="str"/>
      <x:c r="M22" s="18" t="str">
        <x:v>未执行</x:v>
      </x:c>
      <x:c r="N22" s="18" t="str">
        <x:v>未取证</x:v>
      </x:c>
      <x:c r="O22" s="18" t="str"/>
      <x:c r="P22" s="18" t="str">
        <x:v>待实现/复验</x:v>
      </x:c>
      <x:c r="Q22" s="18" t="str">
        <x:v>INVENTORIED</x:v>
      </x:c>
      <x:c r="R22" s="18" t="str">
        <x:v>期权主力单代码短订；Linux oracle → wire → Mac → 同参</x:v>
      </x:c>
      <x:c r="S22" s="18" t="str">
        <x:v>flag=11</x:v>
      </x:c>
      <x:c r="T22" s="18" t="str">
        <x:v>MDOptionSnapshot</x:v>
      </x:c>
      <x:c r="U22" s="18" t="str">
        <x:v>本身</x:v>
      </x:c>
      <x:c r="V22" s="18" t="str">
        <x:v>docs/PDF_API_INVENTORY.md</x:v>
      </x:c>
      <x:c r="W22" s="18" t="str">
        <x:v>期权主力单代码短订</x:v>
      </x:c>
      <x:c r="X22" s="18" t="str">
        <x:v>同上</x:v>
      </x:c>
      <x:c r="Y22" s="18" t="str"/>
    </x:row>
    <x:row r="23" ht="42" customHeight="1">
      <x:c r="A23" s="20" t="n">
        <x:v>19</x:v>
      </x:c>
      <x:c r="B23" s="18" t="str">
        <x:v>TGW C++ 开发手册</x:v>
      </x:c>
      <x:c r="C23" s="18" t="str">
        <x:v>30</x:v>
      </x:c>
      <x:c r="D23" s="18" t="str">
        <x:v>推送回调</x:v>
      </x:c>
      <x:c r="E23" s="18" t="str">
        <x:v>OnMDHKTSnapshot(MDHKTSnapshot*,cnt)</x:v>
      </x:c>
      <x:c r="F23" s="18" t="str">
        <x:v>OnMDHKTSnapshot(MDHKTSnapshot*,cnt)</x:v>
      </x:c>
      <x:c r="G23" s="18" t="str">
        <x:v>仅互联网</x:v>
      </x:c>
      <x:c r="H23" s="18" t="str">
        <x:v>否（待开盘）</x:v>
      </x:c>
      <x:c r="I23" s="18" t="str">
        <x:v>低</x:v>
      </x:c>
      <x:c r="J23" s="18" t="str">
        <x:v>LIVE_ALIGNED</x:v>
      </x:c>
      <x:c r="K23" s="19" t="n">
        <x:f>IFERROR(VLOOKUP(J23,'状态字典'!$A$5:$B$16,2,FALSE),0)</x:f>
        <x:v>85</x:v>
      </x:c>
      <x:c r="L23" s="18" t="str">
        <x:v>2026-08-26</x:v>
      </x:c>
      <x:c r="M23" s="18" t="str">
        <x:v>已有脱敏证据；严格限于状态所述子范围</x:v>
      </x:c>
      <x:c r="N23" s="18" t="str">
        <x:v>wire tag 16</x:v>
      </x:c>
      <x:c r="O23" s="18" t="str">
        <x:v>2026-08-26</x:v>
      </x:c>
      <x:c r="P23" s="18" t="str">
        <x:v>已有 Mac 子范围证据</x:v>
      </x:c>
      <x:c r="Q23" s="18" t="str">
        <x:v>LIVE_ALIGNED(raw; SH route)</x:v>
      </x:c>
      <x:c r="R23" s="18" t="str">
        <x:v>已有 30s 02800.SH；Linux oracle → wire → Mac → 同参</x:v>
      </x:c>
      <x:c r="S23" s="18" t="str">
        <x:v>flag=12</x:v>
      </x:c>
      <x:c r="T23" s="18" t="str">
        <x:v>MDHKTSnapshot</x:v>
      </x:c>
      <x:c r="U23" s="18" t="str">
        <x:v>本身</x:v>
      </x:c>
      <x:c r="V23" s="18" t="str">
        <x:v>docs/PDF_API_INVENTORY.md</x:v>
      </x:c>
      <x:c r="W23" s="18" t="str">
        <x:v>已有 30s 02800.SH</x:v>
      </x:c>
      <x:c r="X23" s="18" t="str">
        <x:v>.SZ 路由未验；市场 101 上游路由规则未建档</x:v>
      </x:c>
      <x:c r="Y23" s="18" t="str"/>
    </x:row>
    <x:row r="24" ht="42" customHeight="1">
      <x:c r="A24" s="20" t="n">
        <x:v>20</x:v>
      </x:c>
      <x:c r="B24" s="18" t="str">
        <x:v>TGW C++ 开发手册</x:v>
      </x:c>
      <x:c r="C24" s="18" t="str">
        <x:v>30</x:v>
      </x:c>
      <x:c r="D24" s="18" t="str">
        <x:v>推送回调</x:v>
      </x:c>
      <x:c r="E24" s="18" t="str">
        <x:v>OnMDAfterHourFixedPriceSnapshot(...)</x:v>
      </x:c>
      <x:c r="F24" s="18" t="str">
        <x:v>OnMDAfterHourFixedPriceSnapshot(...)</x:v>
      </x:c>
      <x:c r="G24" s="18" t="str">
        <x:v>仅互联网</x:v>
      </x:c>
      <x:c r="H24" s="18" t="str">
        <x:v>否（待开盘）</x:v>
      </x:c>
      <x:c r="I24" s="18" t="str">
        <x:v>低</x:v>
      </x:c>
      <x:c r="J24" s="18" t="str">
        <x:v>INVENTORIED</x:v>
      </x:c>
      <x:c r="K24" s="19" t="n">
        <x:f>IFERROR(VLOOKUP(J24,'状态字典'!$A$5:$B$16,2,FALSE),0)</x:f>
        <x:v>10</x:v>
      </x:c>
      <x:c r="L24" s="18" t="str"/>
      <x:c r="M24" s="18" t="str">
        <x:v>未执行</x:v>
      </x:c>
      <x:c r="N24" s="18" t="str">
        <x:v>未取证</x:v>
      </x:c>
      <x:c r="O24" s="18" t="str"/>
      <x:c r="P24" s="18" t="str">
        <x:v>待实现/复验</x:v>
      </x:c>
      <x:c r="Q24" s="18" t="str">
        <x:v>INVENTORIED</x:v>
      </x:c>
      <x:c r="R24" s="18" t="str">
        <x:v>收盘后沪市 ETF 短订；Linux oracle → wire → Mac → 同参</x:v>
      </x:c>
      <x:c r="S24" s="18" t="str">
        <x:v>flag=14</x:v>
      </x:c>
      <x:c r="T24" s="18" t="str">
        <x:v>MDAfterHourFixedPriceSnapshot</x:v>
      </x:c>
      <x:c r="U24" s="18" t="str">
        <x:v>本身</x:v>
      </x:c>
      <x:c r="V24" s="18" t="str">
        <x:v>docs/PDF_API_INVENTORY.md</x:v>
      </x:c>
      <x:c r="W24" s="18" t="str">
        <x:v>收盘后沪市 ETF 短订</x:v>
      </x:c>
      <x:c r="X24" s="18" t="str">
        <x:v>盘后窗口短；时点难安排</x:v>
      </x:c>
      <x:c r="Y24" s="18" t="str"/>
    </x:row>
    <x:row r="25" ht="42" customHeight="1">
      <x:c r="A25" s="20" t="n">
        <x:v>21</x:v>
      </x:c>
      <x:c r="B25" s="18" t="str">
        <x:v>TGW C++ 开发手册</x:v>
      </x:c>
      <x:c r="C25" s="18" t="str">
        <x:v>30</x:v>
      </x:c>
      <x:c r="D25" s="18" t="str">
        <x:v>推送回调</x:v>
      </x:c>
      <x:c r="E25" s="18" t="str">
        <x:v>OnMDCSIIndexSnapshot(...)</x:v>
      </x:c>
      <x:c r="F25" s="18" t="str">
        <x:v>OnMDCSIIndexSnapshot(...)</x:v>
      </x:c>
      <x:c r="G25" s="18" t="str">
        <x:v>仅互联网</x:v>
      </x:c>
      <x:c r="H25" s="18" t="str">
        <x:v>否（待开盘）</x:v>
      </x:c>
      <x:c r="I25" s="18" t="str">
        <x:v>低</x:v>
      </x:c>
      <x:c r="J25" s="18" t="str">
        <x:v>INVENTORIED</x:v>
      </x:c>
      <x:c r="K25" s="19" t="n">
        <x:f>IFERROR(VLOOKUP(J25,'状态字典'!$A$5:$B$16,2,FALSE),0)</x:f>
        <x:v>10</x:v>
      </x:c>
      <x:c r="L25" s="18" t="str"/>
      <x:c r="M25" s="18" t="str">
        <x:v>未执行</x:v>
      </x:c>
      <x:c r="N25" s="18" t="str">
        <x:v>未取证</x:v>
      </x:c>
      <x:c r="O25" s="18" t="str"/>
      <x:c r="P25" s="18" t="str">
        <x:v>待实现/复验</x:v>
      </x:c>
      <x:c r="Q25" s="18" t="str">
        <x:v>INVENTORIED</x:v>
      </x:c>
      <x:c r="R25" s="18" t="str">
        <x:v>中证指数单代码短订；Linux oracle → wire → Mac → 同参</x:v>
      </x:c>
      <x:c r="S25" s="18" t="str">
        <x:v>flag=15</x:v>
      </x:c>
      <x:c r="T25" s="18" t="str">
        <x:v>MDCSIIndexSnapshot</x:v>
      </x:c>
      <x:c r="U25" s="18" t="str">
        <x:v>本身</x:v>
      </x:c>
      <x:c r="V25" s="18" t="str">
        <x:v>docs/PDF_API_INVENTORY.md</x:v>
      </x:c>
      <x:c r="W25" s="18" t="str">
        <x:v>中证指数单代码短订</x:v>
      </x:c>
      <x:c r="X25" s="18" t="str">
        <x:v>权限项 kCSIIndexSnapshot=12 需在列</x:v>
      </x:c>
      <x:c r="Y25" s="18" t="str"/>
    </x:row>
    <x:row r="26" ht="42" customHeight="1">
      <x:c r="A26" s="20" t="n">
        <x:v>22</x:v>
      </x:c>
      <x:c r="B26" s="18" t="str">
        <x:v>TGW C++ 开发手册</x:v>
      </x:c>
      <x:c r="C26" s="18" t="str">
        <x:v>30–31</x:v>
      </x:c>
      <x:c r="D26" s="18" t="str">
        <x:v>推送回调</x:v>
      </x:c>
      <x:c r="E26" s="18" t="str">
        <x:v>OnMDCnIndexSnapshot(...)</x:v>
      </x:c>
      <x:c r="F26" s="18" t="str">
        <x:v>OnMDCnIndexSnapshot(...)</x:v>
      </x:c>
      <x:c r="G26" s="18" t="str">
        <x:v>仅互联网</x:v>
      </x:c>
      <x:c r="H26" s="18" t="str">
        <x:v>否（待开盘）</x:v>
      </x:c>
      <x:c r="I26" s="18" t="str">
        <x:v>低</x:v>
      </x:c>
      <x:c r="J26" s="18" t="str">
        <x:v>INVENTORIED</x:v>
      </x:c>
      <x:c r="K26" s="19" t="n">
        <x:f>IFERROR(VLOOKUP(J26,'状态字典'!$A$5:$B$16,2,FALSE),0)</x:f>
        <x:v>10</x:v>
      </x:c>
      <x:c r="L26" s="18" t="str"/>
      <x:c r="M26" s="18" t="str">
        <x:v>未执行</x:v>
      </x:c>
      <x:c r="N26" s="18" t="str">
        <x:v>未取证</x:v>
      </x:c>
      <x:c r="O26" s="18" t="str"/>
      <x:c r="P26" s="18" t="str">
        <x:v>待实现/复验</x:v>
      </x:c>
      <x:c r="Q26" s="18" t="str">
        <x:v>INVENTORIED</x:v>
      </x:c>
      <x:c r="R26" s="18" t="str">
        <x:v>国证指数单代码短订；Linux oracle → wire → Mac → 同参</x:v>
      </x:c>
      <x:c r="S26" s="18" t="str">
        <x:v>flag=16</x:v>
      </x:c>
      <x:c r="T26" s="18" t="str">
        <x:v>MDCnIndexSnapshot</x:v>
      </x:c>
      <x:c r="U26" s="18" t="str">
        <x:v>本身</x:v>
      </x:c>
      <x:c r="V26" s="18" t="str">
        <x:v>docs/PDF_API_INVENTORY.md</x:v>
      </x:c>
      <x:c r="W26" s="18" t="str">
        <x:v>国证指数单代码短订</x:v>
      </x:c>
      <x:c r="X26" s="18" t="str">
        <x:v>注意与 HKT flag 16 同值的公共/wire 分层风险</x:v>
      </x:c>
      <x:c r="Y26" s="18" t="str"/>
    </x:row>
    <x:row r="27" ht="42" customHeight="1">
      <x:c r="A27" s="20" t="n">
        <x:v>23</x:v>
      </x:c>
      <x:c r="B27" s="18" t="str">
        <x:v>TGW C++ 开发手册</x:v>
      </x:c>
      <x:c r="C27" s="18" t="str">
        <x:v>31</x:v>
      </x:c>
      <x:c r="D27" s="18" t="str">
        <x:v>推送回调</x:v>
      </x:c>
      <x:c r="E27" s="18" t="str">
        <x:v>OnMDHKTRealtimeLimit(...)</x:v>
      </x:c>
      <x:c r="F27" s="18" t="str">
        <x:v>OnMDHKTRealtimeLimit(...)</x:v>
      </x:c>
      <x:c r="G27" s="18" t="str">
        <x:v>仅互联网</x:v>
      </x:c>
      <x:c r="H27" s="18" t="str">
        <x:v>否（待开盘）</x:v>
      </x:c>
      <x:c r="I27" s="18" t="str">
        <x:v>低</x:v>
      </x:c>
      <x:c r="J27" s="18" t="str">
        <x:v>INVENTORIED</x:v>
      </x:c>
      <x:c r="K27" s="19" t="n">
        <x:f>IFERROR(VLOOKUP(J27,'状态字典'!$A$5:$B$16,2,FALSE),0)</x:f>
        <x:v>10</x:v>
      </x:c>
      <x:c r="L27" s="18" t="str"/>
      <x:c r="M27" s="18" t="str">
        <x:v>未执行</x:v>
      </x:c>
      <x:c r="N27" s="18" t="str">
        <x:v>未取证</x:v>
      </x:c>
      <x:c r="O27" s="18" t="str"/>
      <x:c r="P27" s="18" t="str">
        <x:v>待实现/复验</x:v>
      </x:c>
      <x:c r="Q27" s="18" t="str">
        <x:v>INVENTORIED</x:v>
      </x:c>
      <x:c r="R27" s="18" t="str">
        <x:v>港股通额度短订；Linux oracle → wire → Mac → 同参</x:v>
      </x:c>
      <x:c r="S27" s="18" t="str">
        <x:v>flag=17</x:v>
      </x:c>
      <x:c r="T27" s="18" t="str">
        <x:v>MDHKTRealtimeLimit</x:v>
      </x:c>
      <x:c r="U27" s="18" t="str">
        <x:v>本身</x:v>
      </x:c>
      <x:c r="V27" s="18" t="str">
        <x:v>docs/PDF_API_INVENTORY.md</x:v>
      </x:c>
      <x:c r="W27" s="18" t="str">
        <x:v>港股通额度短订</x:v>
      </x:c>
      <x:c r="X27" s="18" t="str">
        <x:v>额度消息频率低</x:v>
      </x:c>
      <x:c r="Y27" s="18" t="str"/>
    </x:row>
    <x:row r="28" ht="42" customHeight="1">
      <x:c r="A28" s="20" t="n">
        <x:v>24</x:v>
      </x:c>
      <x:c r="B28" s="18" t="str">
        <x:v>TGW C++ 开发手册</x:v>
      </x:c>
      <x:c r="C28" s="18" t="str">
        <x:v>31</x:v>
      </x:c>
      <x:c r="D28" s="18" t="str">
        <x:v>推送回调</x:v>
      </x:c>
      <x:c r="E28" s="18" t="str">
        <x:v>OnMDHKTProductStatus(...)</x:v>
      </x:c>
      <x:c r="F28" s="18" t="str">
        <x:v>OnMDHKTProductStatus(...)</x:v>
      </x:c>
      <x:c r="G28" s="18" t="str">
        <x:v>仅互联网</x:v>
      </x:c>
      <x:c r="H28" s="18" t="str">
        <x:v>否（待开盘）</x:v>
      </x:c>
      <x:c r="I28" s="18" t="str">
        <x:v>低</x:v>
      </x:c>
      <x:c r="J28" s="18" t="str">
        <x:v>INVENTORIED</x:v>
      </x:c>
      <x:c r="K28" s="19" t="n">
        <x:f>IFERROR(VLOOKUP(J28,'状态字典'!$A$5:$B$16,2,FALSE),0)</x:f>
        <x:v>10</x:v>
      </x:c>
      <x:c r="L28" s="18" t="str"/>
      <x:c r="M28" s="18" t="str">
        <x:v>未执行</x:v>
      </x:c>
      <x:c r="N28" s="18" t="str">
        <x:v>未取证</x:v>
      </x:c>
      <x:c r="O28" s="18" t="str"/>
      <x:c r="P28" s="18" t="str">
        <x:v>待实现/复验</x:v>
      </x:c>
      <x:c r="Q28" s="18" t="str">
        <x:v>INVENTORIED</x:v>
      </x:c>
      <x:c r="R28" s="18" t="str">
        <x:v>单产品短订；Linux oracle → wire → Mac → 同参</x:v>
      </x:c>
      <x:c r="S28" s="18" t="str">
        <x:v>flag=18</x:v>
      </x:c>
      <x:c r="T28" s="18" t="str">
        <x:v>MDHKTProductStatus</x:v>
      </x:c>
      <x:c r="U28" s="18" t="str">
        <x:v>本身</x:v>
      </x:c>
      <x:c r="V28" s="18" t="str">
        <x:v>docs/PDF_API_INVENTORY.md</x:v>
      </x:c>
      <x:c r="W28" s="18" t="str">
        <x:v>单产品短订</x:v>
      </x:c>
      <x:c r="X28" s="18" t="str">
        <x:v>同上</x:v>
      </x:c>
      <x:c r="Y28" s="18" t="str"/>
    </x:row>
    <x:row r="29" ht="42" customHeight="1">
      <x:c r="A29" s="20" t="n">
        <x:v>25</x:v>
      </x:c>
      <x:c r="B29" s="18" t="str">
        <x:v>TGW C++ 开发手册</x:v>
      </x:c>
      <x:c r="C29" s="18" t="str">
        <x:v>31</x:v>
      </x:c>
      <x:c r="D29" s="18" t="str">
        <x:v>推送回调</x:v>
      </x:c>
      <x:c r="E29" s="18" t="str">
        <x:v>OnMDHKTVCM(...)</x:v>
      </x:c>
      <x:c r="F29" s="18" t="str">
        <x:v>OnMDHKTVCM(...)</x:v>
      </x:c>
      <x:c r="G29" s="18" t="str">
        <x:v>仅互联网</x:v>
      </x:c>
      <x:c r="H29" s="18" t="str">
        <x:v>否（待开盘）</x:v>
      </x:c>
      <x:c r="I29" s="18" t="str">
        <x:v>低</x:v>
      </x:c>
      <x:c r="J29" s="18" t="str">
        <x:v>INVENTORIED</x:v>
      </x:c>
      <x:c r="K29" s="19" t="n">
        <x:f>IFERROR(VLOOKUP(J29,'状态字典'!$A$5:$B$16,2,FALSE),0)</x:f>
        <x:v>10</x:v>
      </x:c>
      <x:c r="L29" s="18" t="str"/>
      <x:c r="M29" s="18" t="str">
        <x:v>未执行</x:v>
      </x:c>
      <x:c r="N29" s="18" t="str">
        <x:v>未取证</x:v>
      </x:c>
      <x:c r="O29" s="18" t="str"/>
      <x:c r="P29" s="18" t="str">
        <x:v>待实现/复验</x:v>
      </x:c>
      <x:c r="Q29" s="18" t="str">
        <x:v>INVENTORIED</x:v>
      </x:c>
      <x:c r="R29" s="18" t="str">
        <x:v>无法主动构造样本；Linux oracle → wire → Mac → 同参</x:v>
      </x:c>
      <x:c r="S29" s="18" t="str">
        <x:v>flag=19</x:v>
      </x:c>
      <x:c r="T29" s="18" t="str">
        <x:v>MDHKTVCM</x:v>
      </x:c>
      <x:c r="U29" s="18" t="str">
        <x:v>本身</x:v>
      </x:c>
      <x:c r="V29" s="18" t="str">
        <x:v>docs/PDF_API_INVENTORY.md</x:v>
      </x:c>
      <x:c r="W29" s="18" t="str">
        <x:v>无法主动构造样本</x:v>
      </x:c>
      <x:c r="X29" s="18" t="str">
        <x:v>事件驱动，不可计划测试</x:v>
      </x:c>
      <x:c r="Y29" s="18" t="str"/>
    </x:row>
    <x:row r="30" ht="42" customHeight="1">
      <x:c r="A30" s="20" t="n">
        <x:v>26</x:v>
      </x:c>
      <x:c r="B30" s="18" t="str">
        <x:v>TGW C++ 开发手册</x:v>
      </x:c>
      <x:c r="C30" s="18" t="str">
        <x:v>31</x:v>
      </x:c>
      <x:c r="D30" s="18" t="str">
        <x:v>推送回调</x:v>
      </x:c>
      <x:c r="E30" s="18" t="str">
        <x:v>OnMDFutureSnapshot(...)</x:v>
      </x:c>
      <x:c r="F30" s="18" t="str">
        <x:v>OnMDFutureSnapshot(...)</x:v>
      </x:c>
      <x:c r="G30" s="18" t="str">
        <x:v>仅互联网</x:v>
      </x:c>
      <x:c r="H30" s="18" t="str">
        <x:v>否（待开盘）</x:v>
      </x:c>
      <x:c r="I30" s="18" t="str">
        <x:v>低</x:v>
      </x:c>
      <x:c r="J30" s="18" t="str">
        <x:v>INVENTORIED</x:v>
      </x:c>
      <x:c r="K30" s="19" t="n">
        <x:f>IFERROR(VLOOKUP(J30,'状态字典'!$A$5:$B$16,2,FALSE),0)</x:f>
        <x:v>10</x:v>
      </x:c>
      <x:c r="L30" s="18" t="str"/>
      <x:c r="M30" s="18" t="str">
        <x:v>未执行</x:v>
      </x:c>
      <x:c r="N30" s="18" t="str">
        <x:v>未取证；市场 3/4/5/6/7</x:v>
      </x:c>
      <x:c r="O30" s="18" t="str"/>
      <x:c r="P30" s="18" t="str">
        <x:v>待实现/复验</x:v>
      </x:c>
      <x:c r="Q30" s="18" t="str">
        <x:v>INVENTORIED</x:v>
      </x:c>
      <x:c r="R30" s="18" t="str">
        <x:v>中金所单合约短订（需期货权限）；Linux oracle → wire → Mac → 同参</x:v>
      </x:c>
      <x:c r="S30" s="18" t="str">
        <x:v>flag=20</x:v>
      </x:c>
      <x:c r="T30" s="18" t="str">
        <x:v>MDFutureSnapshot</x:v>
      </x:c>
      <x:c r="U30" s="18" t="str">
        <x:v>本身</x:v>
      </x:c>
      <x:c r="V30" s="18" t="str">
        <x:v>docs/PDF_API_INVENTORY.md</x:v>
      </x:c>
      <x:c r="W30" s="18" t="str">
        <x:v>中金所单合约短订（需期货权限）</x:v>
      </x:c>
      <x:c r="X30" s="18" t="str">
        <x:v>期货权限未知；商品期货查询规则见 PDF 6.7</x:v>
      </x:c>
      <x:c r="Y30" s="18" t="str"/>
    </x:row>
    <x:row r="31" ht="42" customHeight="1">
      <x:c r="A31" s="20" t="n">
        <x:v>27</x:v>
      </x:c>
      <x:c r="B31" s="18" t="str">
        <x:v>TGW C++ 开发手册</x:v>
      </x:c>
      <x:c r="C31" s="18" t="str">
        <x:v>32</x:v>
      </x:c>
      <x:c r="D31" s="18" t="str">
        <x:v>推送回调</x:v>
      </x:c>
      <x:c r="E31" s="18" t="str">
        <x:v>OnKLine(data,cnt,kline_type)</x:v>
      </x:c>
      <x:c r="F31" s="18" t="str">
        <x:v>OnKLine(data,cnt,kline_type)</x:v>
      </x:c>
      <x:c r="G31" s="18" t="str">
        <x:v>双模式</x:v>
      </x:c>
      <x:c r="H31" s="18" t="str">
        <x:v>否（待开盘）</x:v>
      </x:c>
      <x:c r="I31" s="18" t="str">
        <x:v>低</x:v>
      </x:c>
      <x:c r="J31" s="18" t="str">
        <x:v>INVENTORIED</x:v>
      </x:c>
      <x:c r="K31" s="19" t="n">
        <x:f>IFERROR(VLOOKUP(J31,'状态字典'!$A$5:$B$16,2,FALSE),0)</x:f>
        <x:v>10</x:v>
      </x:c>
      <x:c r="L31" s="18" t="str"/>
      <x:c r="M31" s="18" t="str">
        <x:v>未执行</x:v>
      </x:c>
      <x:c r="N31" s="18" t="str">
        <x:v>MDDatatype 10000..10007</x:v>
      </x:c>
      <x:c r="O31" s="18" t="str"/>
      <x:c r="P31" s="18" t="str">
        <x:v>待实现/复验</x:v>
      </x:c>
      <x:c r="Q31" s="18" t="str">
        <x:v>INVENTORIED</x:v>
      </x:c>
      <x:c r="R31" s="18" t="str">
        <x:v>分钟 K 单代码短订；Linux oracle → wire → Mac → 同参</x:v>
      </x:c>
      <x:c r="S31" s="18" t="str">
        <x:v>订阅分钟 K flag=1..8</x:v>
      </x:c>
      <x:c r="T31" s="18" t="str">
        <x:v>MDKLine</x:v>
      </x:c>
      <x:c r="U31" s="18" t="str">
        <x:v>本身</x:v>
      </x:c>
      <x:c r="V31" s="18" t="str">
        <x:v>docs/PDF_API_INVENTORY.md</x:v>
      </x:c>
      <x:c r="W31" s="18" t="str">
        <x:v>分钟 K 单代码短订</x:v>
      </x:c>
      <x:c r="X31" s="18" t="str">
        <x:v>分钟线公共值→wire period 映射未取证</x:v>
      </x:c>
      <x:c r="Y31" s="18" t="str"/>
    </x:row>
    <x:row r="32" ht="42" customHeight="1">
      <x:c r="A32" s="20" t="n">
        <x:v>28</x:v>
      </x:c>
      <x:c r="B32" s="18" t="str">
        <x:v>TGW C++ 开发手册</x:v>
      </x:c>
      <x:c r="C32" s="18" t="str">
        <x:v>32</x:v>
      </x:c>
      <x:c r="D32" s="18" t="str">
        <x:v>推送回调</x:v>
      </x:c>
      <x:c r="E32" s="18" t="str">
        <x:v>OnSnapshotDerive(data,cnt)</x:v>
      </x:c>
      <x:c r="F32" s="18" t="str">
        <x:v>OnSnapshotDerive(data,cnt)</x:v>
      </x:c>
      <x:c r="G32" s="18" t="str">
        <x:v>双模式</x:v>
      </x:c>
      <x:c r="H32" s="18" t="str">
        <x:v>否（待开盘）</x:v>
      </x:c>
      <x:c r="I32" s="18" t="str">
        <x:v>低</x:v>
      </x:c>
      <x:c r="J32" s="18" t="str">
        <x:v>INVENTORIED</x:v>
      </x:c>
      <x:c r="K32" s="19" t="n">
        <x:f>IFERROR(VLOOKUP(J32,'状态字典'!$A$5:$B$16,2,FALSE),0)</x:f>
        <x:v>10</x:v>
      </x:c>
      <x:c r="L32" s="18" t="str"/>
      <x:c r="M32" s="18" t="str">
        <x:v>未执行</x:v>
      </x:c>
      <x:c r="N32" s="18" t="str">
        <x:v>未取证</x:v>
      </x:c>
      <x:c r="O32" s="18" t="str"/>
      <x:c r="P32" s="18" t="str">
        <x:v>待实现/复验</x:v>
      </x:c>
      <x:c r="Q32" s="18" t="str">
        <x:v>INVENTORIED</x:v>
      </x:c>
      <x:c r="R32" s="18" t="str">
        <x:v>单股票衍生短订；Linux oracle → wire → Mac → 同参</x:v>
      </x:c>
      <x:c r="S32" s="18" t="str">
        <x:v>flag=9</x:v>
      </x:c>
      <x:c r="T32" s="18" t="str">
        <x:v>MDSnapshotDerive</x:v>
      </x:c>
      <x:c r="U32" s="18" t="str">
        <x:v>本身</x:v>
      </x:c>
      <x:c r="V32" s="18" t="str">
        <x:v>docs/PDF_API_INVENTORY.md</x:v>
      </x:c>
      <x:c r="W32" s="18" t="str">
        <x:v>单股票衍生短订</x:v>
      </x:c>
      <x:c r="X32" s="18" t="str">
        <x:v>衍生权限 InternetDataPermission.kSnapshotDerive=2</x:v>
      </x:c>
      <x:c r="Y32" s="18" t="str"/>
    </x:row>
    <x:row r="33" ht="42" customHeight="1">
      <x:c r="A33" s="20" t="n">
        <x:v>29</x:v>
      </x:c>
      <x:c r="B33" s="18" t="str">
        <x:v>TGW C++ 开发手册</x:v>
      </x:c>
      <x:c r="C33" s="18" t="str">
        <x:v>32–33</x:v>
      </x:c>
      <x:c r="D33" s="18" t="str">
        <x:v>推送回调</x:v>
      </x:c>
      <x:c r="E33" s="18" t="str">
        <x:v>OnFactor(Factor*)</x:v>
      </x:c>
      <x:c r="F33" s="18" t="str">
        <x:v>OnFactor(Factor*)</x:v>
      </x:c>
      <x:c r="G33" s="18" t="str">
        <x:v>双模式</x:v>
      </x:c>
      <x:c r="H33" s="18" t="str">
        <x:v>否（待开盘）</x:v>
      </x:c>
      <x:c r="I33" s="18" t="str">
        <x:v>低</x:v>
      </x:c>
      <x:c r="J33" s="18" t="str">
        <x:v>INVENTORIED</x:v>
      </x:c>
      <x:c r="K33" s="19" t="n">
        <x:f>IFERROR(VLOOKUP(J33,'状态字典'!$A$5:$B$16,2,FALSE),0)</x:f>
        <x:v>10</x:v>
      </x:c>
      <x:c r="L33" s="18" t="str"/>
      <x:c r="M33" s="18" t="str">
        <x:v>未执行</x:v>
      </x:c>
      <x:c r="N33" s="18" t="str">
        <x:v>因子名英文</x:v>
      </x:c>
      <x:c r="O33" s="18" t="str"/>
      <x:c r="P33" s="18" t="str">
        <x:v>待实现/复验</x:v>
      </x:c>
      <x:c r="Q33" s="18" t="str">
        <x:v>INVENTORIED</x:v>
      </x:c>
      <x:c r="R33" s="18" t="str">
        <x:v>同 #9；Linux oracle → wire → Mac → 同参</x:v>
      </x:c>
      <x:c r="S33" s="18" t="str">
        <x:v>SubFactor</x:v>
      </x:c>
      <x:c r="T33" s="18" t="str">
        <x:v>Factor{data_size,json_buf} headers/body JSON</x:v>
      </x:c>
      <x:c r="U33" s="18" t="str">
        <x:v>本身</x:v>
      </x:c>
      <x:c r="V33" s="18" t="str">
        <x:v>docs/PDF_API_INVENTORY.md</x:v>
      </x:c>
      <x:c r="W33" s="18" t="str">
        <x:v>同 #9</x:v>
      </x:c>
      <x:c r="X33" s="18" t="str">
        <x:v>JSON schema 仅示例级文档</x:v>
      </x:c>
      <x:c r="Y33" s="18" t="str"/>
    </x:row>
    <x:row r="34" ht="42" customHeight="1">
      <x:c r="A34" s="20" t="n">
        <x:v>30</x:v>
      </x:c>
      <x:c r="B34" s="18" t="str">
        <x:v>TGW C++ 开发手册</x:v>
      </x:c>
      <x:c r="C34" s="18" t="str">
        <x:v>33</x:v>
      </x:c>
      <x:c r="D34" s="18" t="str">
        <x:v>推送回调</x:v>
      </x:c>
      <x:c r="E34" s="18" t="str">
        <x:v>OnMDOrderBook(vector&lt;MDOrderBook&gt;&amp;)</x:v>
      </x:c>
      <x:c r="F34" s="18" t="str">
        <x:v>OnMDOrderBook(vector&lt;MDOrderBook&gt;&amp;)</x:v>
      </x:c>
      <x:c r="G34" s="18" t="str">
        <x:v>仅托管机房</x:v>
      </x:c>
      <x:c r="H34" s="18" t="str">
        <x:v>否（模式不适用）</x:v>
      </x:c>
      <x:c r="I34" s="18" t="str">
        <x:v>低</x:v>
      </x:c>
      <x:c r="J34" s="18" t="str">
        <x:v>OUT_OF_SCOPE_COLOC</x:v>
      </x:c>
      <x:c r="K34" s="19" t="n">
        <x:f>IFERROR(VLOOKUP(J34,'状态字典'!$A$5:$B$16,2,FALSE),0)</x:f>
        <x:v>0</x:v>
      </x:c>
      <x:c r="L34" s="18" t="str"/>
      <x:c r="M34" s="18" t="str">
        <x:v>未执行</x:v>
      </x:c>
      <x:c r="N34" s="18" t="str">
        <x:v>OB 上限 500 只</x:v>
      </x:c>
      <x:c r="O34" s="18" t="str"/>
      <x:c r="P34" s="18" t="str">
        <x:v>待实现/复验</x:v>
      </x:c>
      <x:c r="Q34" s="18" t="str">
        <x:v>OUT_OF_SCOPE_COLOC</x:v>
      </x:c>
      <x:c r="R34" s="18" t="str">
        <x:v>无；Linux oracle → wire → Mac → 同参</x:v>
      </x:c>
      <x:c r="S34" s="18" t="str">
        <x:v>SubscribeDerivedData dtype=1</x:v>
      </x:c>
      <x:c r="T34" s="18" t="str">
        <x:v>MDOrderBook（含 vector，非定长）</x:v>
      </x:c>
      <x:c r="U34" s="18" t="str">
        <x:v>本身</x:v>
      </x:c>
      <x:c r="V34" s="18" t="str">
        <x:v>docs/PDF_API_INVENTORY.md</x:v>
      </x:c>
      <x:c r="W34" s="18" t="str">
        <x:v>无</x:v>
      </x:c>
      <x:c r="X34" s="18" t="str">
        <x:v>盘中禁动态订阅冲突</x:v>
      </x:c>
      <x:c r="Y34" s="18" t="str"/>
    </x:row>
    <x:row r="35" ht="42" customHeight="1">
      <x:c r="A35" s="20" t="n">
        <x:v>31</x:v>
      </x:c>
      <x:c r="B35" s="18" t="str">
        <x:v>TGW C++ 开发手册</x:v>
      </x:c>
      <x:c r="C35" s="18" t="str">
        <x:v>33</x:v>
      </x:c>
      <x:c r="D35" s="18" t="str">
        <x:v>推送回调</x:v>
      </x:c>
      <x:c r="E35" s="18" t="str">
        <x:v>OnMDOrderBookSnapshot(...,cnt)</x:v>
      </x:c>
      <x:c r="F35" s="18" t="str">
        <x:v>OnMDOrderBookSnapshot(...,cnt)</x:v>
      </x:c>
      <x:c r="G35" s="18" t="str">
        <x:v>仅托管机房</x:v>
      </x:c>
      <x:c r="H35" s="18" t="str">
        <x:v>否（模式不适用）</x:v>
      </x:c>
      <x:c r="I35" s="18" t="str">
        <x:v>低</x:v>
      </x:c>
      <x:c r="J35" s="18" t="str">
        <x:v>OUT_OF_SCOPE_COLOC</x:v>
      </x:c>
      <x:c r="K35" s="19" t="n">
        <x:f>IFERROR(VLOOKUP(J35,'状态字典'!$A$5:$B$16,2,FALSE),0)</x:f>
        <x:v>0</x:v>
      </x:c>
      <x:c r="L35" s="18" t="str"/>
      <x:c r="M35" s="18" t="str">
        <x:v>未执行</x:v>
      </x:c>
      <x:c r="N35" s="18" t="str">
        <x:v>快照上限 3000 只</x:v>
      </x:c>
      <x:c r="O35" s="18" t="str"/>
      <x:c r="P35" s="18" t="str">
        <x:v>待实现/复验</x:v>
      </x:c>
      <x:c r="Q35" s="18" t="str">
        <x:v>OUT_OF_SCOPE_COLOC</x:v>
      </x:c>
      <x:c r="R35" s="18" t="str">
        <x:v>无；Linux oracle → wire → Mac → 同参</x:v>
      </x:c>
      <x:c r="S35" s="18" t="str">
        <x:v>dtype=2</x:v>
      </x:c>
      <x:c r="T35" s="18" t="str">
        <x:v>MDOrderBookSnapshot</x:v>
      </x:c>
      <x:c r="U35" s="18" t="str">
        <x:v>本身</x:v>
      </x:c>
      <x:c r="V35" s="18" t="str">
        <x:v>docs/PDF_API_INVENTORY.md</x:v>
      </x:c>
      <x:c r="W35" s="18" t="str">
        <x:v>无</x:v>
      </x:c>
      <x:c r="X35" s="18" t="str">
        <x:v>同上</x:v>
      </x:c>
      <x:c r="Y35" s="18" t="str"/>
    </x:row>
    <x:row r="36" ht="42" customHeight="1">
      <x:c r="A36" s="20" t="n">
        <x:v>32</x:v>
      </x:c>
      <x:c r="B36" s="18" t="str">
        <x:v>TGW C++ 开发手册</x:v>
      </x:c>
      <x:c r="C36" s="18" t="str">
        <x:v>33–34</x:v>
      </x:c>
      <x:c r="D36" s="18" t="str">
        <x:v>查询</x:v>
      </x:c>
      <x:c r="E36" s="18" t="str">
        <x:v>QueryKline(kline_spi,ReqKline)</x:v>
      </x:c>
      <x:c r="F36" s="18" t="str">
        <x:v>QueryKline(kline_spi,ReqKline)</x:v>
      </x:c>
      <x:c r="G36" s="18" t="str">
        <x:v>双模式</x:v>
      </x:c>
      <x:c r="H36" s="18" t="str">
        <x:v>是</x:v>
      </x:c>
      <x:c r="I36" s="18" t="str">
        <x:v>低</x:v>
      </x:c>
      <x:c r="J36" s="18" t="str">
        <x:v>LIVE_ALIGNED</x:v>
      </x:c>
      <x:c r="K36" s="19" t="n">
        <x:f>IFERROR(VLOOKUP(J36,'状态字典'!$A$5:$B$16,2,FALSE),0)</x:f>
        <x:v>85</x:v>
      </x:c>
      <x:c r="L36" s="18" t="str">
        <x:v>2026-08-26</x:v>
      </x:c>
      <x:c r="M36" s="18" t="str">
        <x:v>已有脱敏证据；严格限于状态所述子范围</x:v>
      </x:c>
      <x:c r="N36" s="18" t="str">
        <x:v>cyc_type 10000..10012；cq_flag 0/1/2</x:v>
      </x:c>
      <x:c r="O36" s="18" t="str">
        <x:v>2026-08-26</x:v>
      </x:c>
      <x:c r="P36" s="18" t="str">
        <x:v>已有 Mac 子范围证据</x:v>
      </x:c>
      <x:c r="Q36" s="18" t="str">
        <x:v>LIVE_ALIGNED(daily + weekly + monthly + quarterly + yearly only)：10008→10100，10009→10101，10010→10102，10011→10103，10012→10104（季/年已实捕证明）；响应 tag 同 wire 周期</x:v>
      </x:c>
      <x:c r="R36" s="18" t="str">
        <x:v>已有 SSE 510300 日线单日、周线单周、月线单月、季线单季与年线单年；Linux oracle → wire → Mac → 同参</x:v>
      </x:c>
      <x:c r="S36" s="18" t="str">
        <x:v>ReqKline{code[38],market u8,cq_flag u8,cq_date,qj_flag,cyc_type u16,cyc_def,auto_complete,begin/end_date,begin/end_time} pack(1)=71</x:v>
      </x:c>
      <x:c r="T36" s="18" t="str">
        <x:v>MDKLine 数组；wrapper 补 orig_time/variety_category 共11字段</x:v>
      </x:c>
      <x:c r="U36" s="18" t="str">
        <x:v>IGMDKlineSpi::OnMDKLine+OnStatus</x:v>
      </x:c>
      <x:c r="V36" s="18" t="str">
        <x:v>docs/PDF_API_INVENTORY.md</x:v>
      </x:c>
      <x:c r="W36" s="18" t="str">
        <x:v>已有 SSE 510300 日线单日、周线单周、月线单月、季线单季与年线单年</x:v>
      </x:c>
      <x:c r="X36" s="18" t="str">
        <x:v>分钟族显式拒绝；非零 status（kDataEmpty=-76）转异常未对齐官方错误码返回；备用端点受 1000 accept conn active close 流控</x:v>
      </x:c>
      <x:c r="Y36" s="18" t="str"/>
    </x:row>
    <x:row r="37" ht="42" customHeight="1">
      <x:c r="A37" s="20" t="n">
        <x:v>33</x:v>
      </x:c>
      <x:c r="B37" s="18" t="str">
        <x:v>TGW C++ 开发手册</x:v>
      </x:c>
      <x:c r="C37" s="18" t="str">
        <x:v>34</x:v>
      </x:c>
      <x:c r="D37" s="18" t="str">
        <x:v>查询</x:v>
      </x:c>
      <x:c r="E37" s="18" t="str">
        <x:v>QuerySnapshot(snapshot_spi,ReqDefault)</x:v>
      </x:c>
      <x:c r="F37" s="18" t="str">
        <x:v>QuerySnapshot(snapshot_spi,ReqDefault)</x:v>
      </x:c>
      <x:c r="G37" s="18" t="str">
        <x:v>双模式</x:v>
      </x:c>
      <x:c r="H37" s="18" t="str">
        <x:v>是</x:v>
      </x:c>
      <x:c r="I37" s="18" t="str">
        <x:v>低</x:v>
      </x:c>
      <x:c r="J37" s="18" t="str">
        <x:v>LIVE_ALIGNED</x:v>
      </x:c>
      <x:c r="K37" s="19" t="n">
        <x:f>IFERROR(VLOOKUP(J37,'状态字典'!$A$5:$B$16,2,FALSE),0)</x:f>
        <x:v>85</x:v>
      </x:c>
      <x:c r="L37" s="18" t="str">
        <x:v>2026-08-26</x:v>
      </x:c>
      <x:c r="M37" s="18" t="str">
        <x:v>已有脱敏证据；严格限于状态所述子范围</x:v>
      </x:c>
      <x:c r="N37" s="18" t="str">
        <x:v>data_type 0/1/2 其余无效；level_type 默认0</x:v>
      </x:c>
      <x:c r="O37" s="18" t="str">
        <x:v>2026-08-26</x:v>
      </x:c>
      <x:c r="P37" s="18" t="str">
        <x:v>已有 Mac 子范围证据</x:v>
      </x:c>
      <x:c r="Q37" s="18" t="str">
        <x:v>LIVE_ALIGNED(SZSE ETF L1, data_type=0; sync+async error contract)：数据/协议同参 + 空数据 (None,-76)/异步 (True,None)→(None,-76) 均已 Linux/Mac 同参（2026-08-26）</x:v>
      </x:c>
      <x:c r="R37" s="18" t="str">
        <x:v>已有单日窄窗；Linux oracle → wire → Mac → 同参</x:v>
      </x:c>
      <x:c r="S37" s="18" t="str">
        <x:v>ReqDefault{code[38],market u8,date,begin/end_time,data_type u16,level_type u16}（level_type 仅 HDR 有）pack(1)=55</x:v>
      </x:c>
      <x:c r="T37" s="18" t="str">
        <x:v>data_type=0:MDSnapshotL1(互联网)；1:MDHKExOrderSnapshot；2:MDHKExOrderBrokerSnapshot；L2 仅托管</x:v>
      </x:c>
      <x:c r="U37" s="18" t="str">
        <x:v>IGMDSnapshotSpi::OnMDSnapshotL1/L2/OnMDHKTSnapshot/...+OnStatus</x:v>
      </x:c>
      <x:c r="V37" s="18" t="str">
        <x:v>docs/PDF_API_INVENTORY.md</x:v>
      </x:c>
      <x:c r="W37" s="18" t="str">
        <x:v>已有单日窄窗</x:v>
      </x:c>
      <x:c r="X37" s="18" t="str">
        <x:v>多包异步交付语义未观测；data_type=1/2 未取证；其它市场未验；错误标签映射仅 "DataEmpty" 已捕获</x:v>
      </x:c>
      <x:c r="Y37" s="18" t="str"/>
    </x:row>
    <x:row r="38" ht="42" customHeight="1">
      <x:c r="A38" s="20" t="n">
        <x:v>34</x:v>
      </x:c>
      <x:c r="B38" s="18" t="str">
        <x:v>TGW C++ 开发手册</x:v>
      </x:c>
      <x:c r="C38" s="18" t="str">
        <x:v>35</x:v>
      </x:c>
      <x:c r="D38" s="18" t="str">
        <x:v>查询</x:v>
      </x:c>
      <x:c r="E38" s="18" t="str">
        <x:v>QueryOrderQueue(spi,ReqDefault)</x:v>
      </x:c>
      <x:c r="F38" s="18" t="str">
        <x:v>QueryOrderQueue(spi,ReqDefault)</x:v>
      </x:c>
      <x:c r="G38" s="18" t="str">
        <x:v>仅托管机房</x:v>
      </x:c>
      <x:c r="H38" s="18" t="str">
        <x:v>否（模式不适用）</x:v>
      </x:c>
      <x:c r="I38" s="18" t="str">
        <x:v>低</x:v>
      </x:c>
      <x:c r="J38" s="18" t="str">
        <x:v>OUT_OF_SCOPE_COLOC</x:v>
      </x:c>
      <x:c r="K38" s="19" t="n">
        <x:f>IFERROR(VLOOKUP(J38,'状态字典'!$A$5:$B$16,2,FALSE),0)</x:f>
        <x:v>0</x:v>
      </x:c>
      <x:c r="L38" s="18" t="str"/>
      <x:c r="M38" s="18" t="str">
        <x:v>未执行</x:v>
      </x:c>
      <x:c r="N38" s="18" t="str">
        <x:v>无</x:v>
      </x:c>
      <x:c r="O38" s="18" t="str"/>
      <x:c r="P38" s="18" t="str">
        <x:v>待实现/复验</x:v>
      </x:c>
      <x:c r="Q38" s="18" t="str">
        <x:v>OUT_OF_SCOPE_COLOC</x:v>
      </x:c>
      <x:c r="R38" s="18" t="str">
        <x:v>无；Linux oracle → wire → Mac → 同参</x:v>
      </x:c>
      <x:c r="S38" s="18" t="str">
        <x:v>ReqDefault</x:v>
      </x:c>
      <x:c r="T38" s="18" t="str">
        <x:v>MDOrderQueue（volume[50] 定长）</x:v>
      </x:c>
      <x:c r="U38" s="18" t="str">
        <x:v>OnMDOrderQueue+OnStatus</x:v>
      </x:c>
      <x:c r="V38" s="18" t="str">
        <x:v>docs/PDF_API_INVENTORY.md</x:v>
      </x:c>
      <x:c r="W38" s="18" t="str">
        <x:v>无</x:v>
      </x:c>
      <x:c r="X38" s="18" t="str">
        <x:v>—</x:v>
      </x:c>
      <x:c r="Y38" s="18" t="str"/>
    </x:row>
    <x:row r="39" ht="42" customHeight="1">
      <x:c r="A39" s="20" t="n">
        <x:v>35</x:v>
      </x:c>
      <x:c r="B39" s="18" t="str">
        <x:v>TGW C++ 开发手册</x:v>
      </x:c>
      <x:c r="C39" s="18" t="str">
        <x:v>35</x:v>
      </x:c>
      <x:c r="D39" s="18" t="str">
        <x:v>查询</x:v>
      </x:c>
      <x:c r="E39" s="18" t="str">
        <x:v>QueryTickExecution(spi,ReqDefault)</x:v>
      </x:c>
      <x:c r="F39" s="18" t="str">
        <x:v>QueryTickExecution(spi,ReqDefault)</x:v>
      </x:c>
      <x:c r="G39" s="18" t="str">
        <x:v>冲突：PDF 标仅托管机房；HDR tgw.h 标双模式</x:v>
      </x:c>
      <x:c r="H39" s="18" t="str">
        <x:v>待取证</x:v>
      </x:c>
      <x:c r="I39" s="18" t="str">
        <x:v>低</x:v>
      </x:c>
      <x:c r="J39" s="18" t="str">
        <x:v>INVENTORIED</x:v>
      </x:c>
      <x:c r="K39" s="19" t="n">
        <x:f>IFERROR(VLOOKUP(J39,'状态字典'!$A$5:$B$16,2,FALSE),0)</x:f>
        <x:v>10</x:v>
      </x:c>
      <x:c r="L39" s="18" t="str"/>
      <x:c r="M39" s="18" t="str">
        <x:v>未执行</x:v>
      </x:c>
      <x:c r="N39" s="18" t="str">
        <x:v>无</x:v>
      </x:c>
      <x:c r="O39" s="18" t="str"/>
      <x:c r="P39" s="18" t="str">
        <x:v>待实现/复验</x:v>
      </x:c>
      <x:c r="Q39" s="18" t="str">
        <x:v>INVENTORIED（冲突登记）</x:v>
      </x:c>
      <x:c r="R39" s="18" t="str">
        <x:v>若走互联网先做 Linux oracle 单次观测；Linux oracle → wire → Mac → 同参</x:v>
      </x:c>
      <x:c r="S39" s="18" t="str">
        <x:v>ReqDefault</x:v>
      </x:c>
      <x:c r="T39" s="18" t="str">
        <x:v>MDTickExecution</x:v>
      </x:c>
      <x:c r="U39" s="18" t="str">
        <x:v>OnMDTickExecution+OnStatus</x:v>
      </x:c>
      <x:c r="V39" s="18" t="str">
        <x:v>docs/PDF_API_INVENTORY.md</x:v>
      </x:c>
      <x:c r="W39" s="18" t="str">
        <x:v>若走互联网先做 Linux oracle 单次观测</x:v>
      </x:c>
      <x:c r="X39" s="18" t="str">
        <x:v>PDF/HDR 模式边界矛盾，须以 oracle 实测定界后再实现</x:v>
      </x:c>
      <x:c r="Y39" s="18" t="str"/>
    </x:row>
    <x:row r="40" ht="42" customHeight="1">
      <x:c r="A40" s="20" t="n">
        <x:v>36</x:v>
      </x:c>
      <x:c r="B40" s="18" t="str">
        <x:v>TGW C++ 开发手册</x:v>
      </x:c>
      <x:c r="C40" s="18" t="str">
        <x:v>35–36</x:v>
      </x:c>
      <x:c r="D40" s="18" t="str">
        <x:v>查询</x:v>
      </x:c>
      <x:c r="E40" s="18" t="str">
        <x:v>QueryTickOrder(spi,ReqDefault)</x:v>
      </x:c>
      <x:c r="F40" s="18" t="str">
        <x:v>QueryTickOrder(spi,ReqDefault)</x:v>
      </x:c>
      <x:c r="G40" s="18" t="str">
        <x:v>仅托管机房（HDR 无模式限定注记）</x:v>
      </x:c>
      <x:c r="H40" s="18" t="str">
        <x:v>否（模式不适用）</x:v>
      </x:c>
      <x:c r="I40" s="18" t="str">
        <x:v>低</x:v>
      </x:c>
      <x:c r="J40" s="18" t="str">
        <x:v>OUT_OF_SCOPE_COLOC</x:v>
      </x:c>
      <x:c r="K40" s="19" t="n">
        <x:f>IFERROR(VLOOKUP(J40,'状态字典'!$A$5:$B$16,2,FALSE),0)</x:f>
        <x:v>0</x:v>
      </x:c>
      <x:c r="L40" s="18" t="str"/>
      <x:c r="M40" s="18" t="str">
        <x:v>未执行</x:v>
      </x:c>
      <x:c r="N40" s="18" t="str">
        <x:v>无</x:v>
      </x:c>
      <x:c r="O40" s="18" t="str"/>
      <x:c r="P40" s="18" t="str">
        <x:v>待实现/复验</x:v>
      </x:c>
      <x:c r="Q40" s="18" t="str">
        <x:v>OUT_OF_SCOPE_COLOC（按 PDF）</x:v>
      </x:c>
      <x:c r="R40" s="18" t="str">
        <x:v>无；Linux oracle → wire → Mac → 同参</x:v>
      </x:c>
      <x:c r="S40" s="18" t="str">
        <x:v>ReqDefault</x:v>
      </x:c>
      <x:c r="T40" s="18" t="str">
        <x:v>MDTickOrder</x:v>
      </x:c>
      <x:c r="U40" s="18" t="str">
        <x:v>OnMDTickOrder+OnStatus</x:v>
      </x:c>
      <x:c r="V40" s="18" t="str">
        <x:v>docs/PDF_API_INVENTORY.md</x:v>
      </x:c>
      <x:c r="W40" s="18" t="str">
        <x:v>无</x:v>
      </x:c>
      <x:c r="X40" s="18" t="str">
        <x:v>HDR 未标模式，存在与 #35 同类矛盾，需一并澄清</x:v>
      </x:c>
      <x:c r="Y40" s="18" t="str"/>
    </x:row>
    <x:row r="41" ht="42" customHeight="1">
      <x:c r="A41" s="20" t="n">
        <x:v>37</x:v>
      </x:c>
      <x:c r="B41" s="18" t="str">
        <x:v>TGW C++ 开发手册</x:v>
      </x:c>
      <x:c r="C41" s="18" t="str">
        <x:v>36</x:v>
      </x:c>
      <x:c r="D41" s="18" t="str">
        <x:v>查询</x:v>
      </x:c>
      <x:c r="E41" s="18" t="str">
        <x:v>QueryCodeTable(code_table_spi)</x:v>
      </x:c>
      <x:c r="F41" s="18" t="str">
        <x:v>QueryCodeTable(code_table_spi)</x:v>
      </x:c>
      <x:c r="G41" s="18" t="str">
        <x:v>双模式（回调章节误标 coloc，HDR/方法页为双模式）</x:v>
      </x:c>
      <x:c r="H41" s="18" t="str">
        <x:v>是</x:v>
      </x:c>
      <x:c r="I41" s="18" t="str">
        <x:v>低</x:v>
      </x:c>
      <x:c r="J41" s="18" t="str">
        <x:v>ARM_IMPLEMENTED</x:v>
      </x:c>
      <x:c r="K41" s="19" t="n">
        <x:f>IFERROR(VLOOKUP(J41,'状态字典'!$A$5:$B$16,2,FALSE),0)</x:f>
        <x:v>70</x:v>
      </x:c>
      <x:c r="L41" s="18" t="str"/>
      <x:c r="M41" s="18" t="str">
        <x:v>未执行</x:v>
      </x:c>
      <x:c r="N41" s="18" t="str">
        <x:v>含 2022-08-22 起退市代码</x:v>
      </x:c>
      <x:c r="O41" s="18" t="str">
        <x:v>2026-08-26</x:v>
      </x:c>
      <x:c r="P41" s="18" t="str">
        <x:v>已有实现；待同参 live</x:v>
      </x:c>
      <x:c r="Q41" s="18" t="str">
        <x:v>ARM_IMPLEMENTED</x:v>
      </x:c>
      <x:c r="R41" s="18" t="str">
        <x:v>wire 已证：dgw*_query one-shot、ReqGetReduceCodeTable、tag 11103、反引号 6 字段、缺包 ReqGetPackage；Linux -83 与 Mac 缺包超时同因同果（服务端缺第 3 包）；待成功同参闭环；Linux oracle → wire → Mac → 同参</x:v>
      </x:c>
      <x:c r="S41" s="18" t="str">
        <x:v>无入参</x:v>
      </x:c>
      <x:c r="T41" s="18" t="str">
        <x:v>MDCodeTable{code[16],symbol[32],en_name[128],market u8,type[10],currency[4]} pack(1)=191</x:v>
      </x:c>
      <x:c r="U41" s="18" t="str">
        <x:v>OnMDCodeTable+OnStatus</x:v>
      </x:c>
      <x:c r="V41" s="18" t="str">
        <x:v>docs/PDF_API_INVENTORY.md</x:v>
      </x:c>
      <x:c r="W41" s="18" t="str">
        <x:v>wire 已证：dgw*_query one-shot、ReqGetReduceCodeTable、tag 11103、反引号 6 字段、缺包 ReqGetPackage；Linux -83 与 Mac 缺包超时同因同果（服务端缺第 3 包）；待成功同参闭环</x:v>
      </x:c>
      <x:c r="X41" s="18" t="str">
        <x:v>服务端全市场大表持续缺第 3 包且对补拉无响应，完整 12 包成功样本当前不可得；完成 method（ReqGetComplete/ReqGetCodelistComplete）未证</x:v>
      </x:c>
      <x:c r="Y41" s="18" t="str"/>
    </x:row>
    <x:row r="42" ht="42" customHeight="1">
      <x:c r="A42" s="20" t="n">
        <x:v>38</x:v>
      </x:c>
      <x:c r="B42" s="18" t="str">
        <x:v>TGW C++ 开发手册</x:v>
      </x:c>
      <x:c r="C42" s="18" t="str">
        <x:v>36–37</x:v>
      </x:c>
      <x:c r="D42" s="18" t="str">
        <x:v>查询</x:v>
      </x:c>
      <x:c r="E42" s="18" t="str">
        <x:v>QuerySecuritiesInfo(spi,SubCodeTableItem*,cnt)</x:v>
      </x:c>
      <x:c r="F42" s="18" t="str">
        <x:v>QuerySecuritiesInfo(spi,SubCodeTableItem*,cnt)</x:v>
      </x:c>
      <x:c r="G42" s="18" t="str">
        <x:v>双模式</x:v>
      </x:c>
      <x:c r="H42" s="18" t="str">
        <x:v>是</x:v>
      </x:c>
      <x:c r="I42" s="18" t="str">
        <x:v>低</x:v>
      </x:c>
      <x:c r="J42" s="18" t="str">
        <x:v>LIVE_ALIGNED</x:v>
      </x:c>
      <x:c r="K42" s="19" t="n">
        <x:f>IFERROR(VLOOKUP(J42,'状态字典'!$A$5:$B$16,2,FALSE),0)</x:f>
        <x:v>85</x:v>
      </x:c>
      <x:c r="L42" s="18" t="str">
        <x:v>2026-08-26</x:v>
      </x:c>
      <x:c r="M42" s="18" t="str">
        <x:v>已有脱敏证据；严格限于状态所述子范围</x:v>
      </x:c>
      <x:c r="N42" s="18" t="str">
        <x:v>market kNone=全市场；支持 SSE/SZSE/NEEQ</x:v>
      </x:c>
      <x:c r="O42" s="18" t="str">
        <x:v>2026-08-26</x:v>
      </x:c>
      <x:c r="P42" s="18" t="str">
        <x:v>已有 Mac 子范围证据</x:v>
      </x:c>
      <x:c r="Q42" s="18" t="str">
        <x:v>LIVE_ALIGNED(SSE single code only)</x:v>
      </x:c>
      <x:c r="R42" s="18" t="str">
        <x:v>已闭合 SSE 510300 单 item：push 通道 ReqGetCodeTableList、tag "109"、43 字段/MDCodeTableRecord sizeof=555；Linux/Mac 同参 1 行 43 列一致；Linux oracle → wire → Mac → 同参</x:v>
      </x:c>
      <x:c r="S42" s="18" t="str">
        <x:v>SubCodeTableItem{i32 market,char[32] code}</x:v>
      </x:c>
      <x:c r="T42" s="18" t="str">
        <x:v>MDCodeTableRecord（大结构，含涨跌停/单位/期权属性）</x:v>
      </x:c>
      <x:c r="U42" s="18" t="str">
        <x:v>OnMDSecuritiesInfo+OnStatus</x:v>
      </x:c>
      <x:c r="V42" s="18" t="str">
        <x:v>docs/PDF_API_INVENTORY.md</x:v>
      </x:c>
      <x:c r="W42" s="18" t="str">
        <x:v>已闭合 SSE 510300 单 item：push 通道 ReqGetCodeTableList、tag "109"、43 字段/MDCodeTableRecord sizeof=555；Linux/Mac 同参 1 行 43 列一致</x:v>
      </x:c>
      <x:c r="X42" s="18" t="str">
        <x:v>全市场/多 item/SZSE/NEEQ/空结果/多帧分页未验且显式拒绝</x:v>
      </x:c>
      <x:c r="Y42" s="18" t="str"/>
    </x:row>
    <x:row r="43" ht="42" customHeight="1">
      <x:c r="A43" s="20" t="n">
        <x:v>39</x:v>
      </x:c>
      <x:c r="B43" s="18" t="str">
        <x:v>TGW C++ 开发手册</x:v>
      </x:c>
      <x:c r="C43" s="18" t="str">
        <x:v>36–37</x:v>
      </x:c>
      <x:c r="D43" s="18" t="str">
        <x:v>查询</x:v>
      </x:c>
      <x:c r="E43" s="18" t="str">
        <x:v>QueryExFactorTable(ex_factor_spi,code)</x:v>
      </x:c>
      <x:c r="F43" s="18" t="str">
        <x:v>QueryExFactorTable(ex_factor_spi,code)</x:v>
      </x:c>
      <x:c r="G43" s="18" t="str">
        <x:v>双模式</x:v>
      </x:c>
      <x:c r="H43" s="18" t="str">
        <x:v>是</x:v>
      </x:c>
      <x:c r="I43" s="18" t="str">
        <x:v>低</x:v>
      </x:c>
      <x:c r="J43" s="18" t="str">
        <x:v>LIVE_ALIGNED</x:v>
      </x:c>
      <x:c r="K43" s="19" t="n">
        <x:f>IFERROR(VLOOKUP(J43,'状态字典'!$A$5:$B$16,2,FALSE),0)</x:f>
        <x:v>85</x:v>
      </x:c>
      <x:c r="L43" s="18" t="str">
        <x:v>2026-08-26</x:v>
      </x:c>
      <x:c r="M43" s="18" t="str">
        <x:v>已有脱敏证据；严格限于状态所述子范围</x:v>
      </x:c>
      <x:c r="N43" s="18" t="str">
        <x:v>无</x:v>
      </x:c>
      <x:c r="O43" s="18" t="str">
        <x:v>2026-08-26</x:v>
      </x:c>
      <x:c r="P43" s="18" t="str">
        <x:v>已有 Mac 子范围证据</x:v>
      </x:c>
      <x:c r="Q43" s="18" t="str">
        <x:v>LIVE_ALIGNED(000001 only)</x:v>
      </x:c>
      <x:c r="R43" s="18" t="str">
        <x:v>已闭合 000001 单代码：one-shot ReqGetExFactor、tag 11102、5 字段 CSV、double 18 位小数字符串上线、33 行；Linux/Mac 同参（含 cum_factor 单调违例 2 处吻合）；Linux oracle → wire → Mac → 同参</x:v>
      </x:c>
      <x:c r="S43" s="18" t="str">
        <x:v>const char* code</x:v>
      </x:c>
      <x:c r="T43" s="18" t="str">
        <x:v>MDExFactorTable{inner_code,code,ex_date,ex_factor double,cum_factor double}</x:v>
      </x:c>
      <x:c r="U43" s="18" t="str">
        <x:v>OnMDExFactor+OnStatus</x:v>
      </x:c>
      <x:c r="V43" s="18" t="str">
        <x:v>docs/PDF_API_INVENTORY.md</x:v>
      </x:c>
      <x:c r="W43" s="18" t="str">
        <x:v>已闭合 000001 单代码：one-shot ReqGetExFactor、tag 11102、5 字段 CSV、double 18 位小数字符串上线、33 行；Linux/Mac 同参（含 cum_factor 单调违例 2 处吻合）</x:v>
      </x:c>
      <x:c r="X43" s="18" t="str">
        <x:v>空结果/非零 status wire 形状未取证；多包未线上观测；异步 SPI 未实现</x:v>
      </x:c>
      <x:c r="Y43" s="18" t="str"/>
    </x:row>
    <x:row r="44" ht="42" customHeight="1">
      <x:c r="A44" s="20" t="n">
        <x:v>40</x:v>
      </x:c>
      <x:c r="B44" s="18" t="str">
        <x:v>TGW C++ 开发手册</x:v>
      </x:c>
      <x:c r="C44" s="18" t="str">
        <x:v>37</x:v>
      </x:c>
      <x:c r="D44" s="18" t="str">
        <x:v>查询</x:v>
      </x:c>
      <x:c r="E44" s="18" t="str">
        <x:v>QueryFactor(factor_spi,ReqFactor)</x:v>
      </x:c>
      <x:c r="F44" s="18" t="str">
        <x:v>QueryFactor(factor_spi,ReqFactor)</x:v>
      </x:c>
      <x:c r="G44" s="18" t="str">
        <x:v>双模式</x:v>
      </x:c>
      <x:c r="H44" s="18" t="str">
        <x:v>是</x:v>
      </x:c>
      <x:c r="I44" s="18" t="str">
        <x:v>低</x:v>
      </x:c>
      <x:c r="J44" s="18" t="str">
        <x:v>INVENTORIED</x:v>
      </x:c>
      <x:c r="K44" s="19" t="n">
        <x:f>IFERROR(VLOOKUP(J44,'状态字典'!$A$5:$B$16,2,FALSE),0)</x:f>
        <x:v>10</x:v>
      </x:c>
      <x:c r="L44" s="18" t="str"/>
      <x:c r="M44" s="18" t="str">
        <x:v>未执行</x:v>
      </x:c>
      <x:c r="N44" s="18" t="str">
        <x:v>begin==end_date（仅单日）；count 默认1000（HDR）；offset 分页暂不支持</x:v>
      </x:c>
      <x:c r="O44" s="18" t="str"/>
      <x:c r="P44" s="18" t="str">
        <x:v>待实现/复验</x:v>
      </x:c>
      <x:c r="Q44" s="18" t="str">
        <x:v>INVENTORIED</x:v>
      </x:c>
      <x:c r="R44" s="18" t="str">
        <x:v>单日单因子单代码；Linux oracle → wire → Mac → 同参</x:v>
      </x:c>
      <x:c r="S44" s="18" t="str">
        <x:v>ReqFactor{task_id,3×char[64],begin/end_date,begin/end_time,code[32],market,category,count,key1,key2}</x:v>
      </x:c>
      <x:c r="T44" s="18" t="str">
        <x:v>Factor JSON</x:v>
      </x:c>
      <x:c r="U44" s="18" t="str">
        <x:v>OnFactor+OnStatus</x:v>
      </x:c>
      <x:c r="V44" s="18" t="str">
        <x:v>docs/PDF_API_INVENTORY.md</x:v>
      </x:c>
      <x:c r="W44" s="18" t="str">
        <x:v>单日单因子单代码</x:v>
      </x:c>
      <x:c r="X44" s="18" t="str">
        <x:v>因子名称目录缺失；PDF 表格缺 count 默认值差异（PDF 写默认100）</x:v>
      </x:c>
      <x:c r="Y44" s="18" t="str"/>
    </x:row>
    <x:row r="45" ht="42" customHeight="1">
      <x:c r="A45" s="20" t="n">
        <x:v>41</x:v>
      </x:c>
      <x:c r="B45" s="18" t="str">
        <x:v>TGW C++ 开发手册</x:v>
      </x:c>
      <x:c r="C45" s="18" t="str">
        <x:v>37–38</x:v>
      </x:c>
      <x:c r="D45" s="18" t="str">
        <x:v>查询</x:v>
      </x:c>
      <x:c r="E45" s="18" t="str">
        <x:v>SetThirdInfoParam(task_id,key,value)</x:v>
      </x:c>
      <x:c r="F45" s="18" t="str">
        <x:v>SetThirdInfoParam(task_id,key,value)</x:v>
      </x:c>
      <x:c r="G45" s="18" t="str">
        <x:v>双模式</x:v>
      </x:c>
      <x:c r="H45" s="18" t="str">
        <x:v>是</x:v>
      </x:c>
      <x:c r="I45" s="18" t="str">
        <x:v>低</x:v>
      </x:c>
      <x:c r="J45" s="18" t="str">
        <x:v>LIVE_ALIGNED</x:v>
      </x:c>
      <x:c r="K45" s="19" t="n">
        <x:f>IFERROR(VLOOKUP(J45,'状态字典'!$A$5:$B$16,2,FALSE),0)</x:f>
        <x:v>85</x:v>
      </x:c>
      <x:c r="L45" s="18" t="str">
        <x:v>2026-08-26</x:v>
      </x:c>
      <x:c r="M45" s="18" t="str">
        <x:v>已有脱敏证据；严格限于状态所述子范围</x:v>
      </x:c>
      <x:c r="N45" s="18" t="str">
        <x:v>task_id 由 GetTaskID 生成</x:v>
      </x:c>
      <x:c r="O45" s="18" t="str">
        <x:v>2026-08-26</x:v>
      </x:c>
      <x:c r="P45" s="18" t="str">
        <x:v>已有 Mac 子范围证据</x:v>
      </x:c>
      <x:c r="Q45" s="18" t="str">
        <x:v>LIVE_ALIGNED(calendar function only)</x:v>
      </x:c>
      <x:c r="R45" s="18" t="str">
        <x:v>已有 A010061003；Linux oracle → wire → Mac → 同参</x:v>
      </x:c>
      <x:c r="S45" s="18" t="str">
        <x:v>逐 key/value 设置；必须先设 function_id</x:v>
      </x:c>
      <x:c r="T45" s="18" t="str">
        <x:v>int32 错误码</x:v>
      </x:c>
      <x:c r="U45" s="18" t="str">
        <x:v>无</x:v>
      </x:c>
      <x:c r="V45" s="18" t="str">
        <x:v>docs/PDF_API_INVENTORY.md</x:v>
      </x:c>
      <x:c r="W45" s="18" t="str">
        <x:v>已有 A010061003</x:v>
      </x:c>
      <x:c r="X45" s="18" t="str">
        <x:v>未验功能号必须显式失败；taskid 并发唯一性弱</x:v>
      </x:c>
      <x:c r="Y45" s="18" t="str"/>
    </x:row>
    <x:row r="46" ht="42" customHeight="1">
      <x:c r="A46" s="20" t="n">
        <x:v>42</x:v>
      </x:c>
      <x:c r="B46" s="18" t="str">
        <x:v>TGW C++ 开发手册</x:v>
      </x:c>
      <x:c r="C46" s="18" t="str">
        <x:v>38</x:v>
      </x:c>
      <x:c r="D46" s="18" t="str">
        <x:v>查询</x:v>
      </x:c>
      <x:c r="E46" s="18" t="str">
        <x:v>QueryThirdInfo(third_info_spi,task_id)</x:v>
      </x:c>
      <x:c r="F46" s="18" t="str">
        <x:v>QueryThirdInfo(third_info_spi,task_id)</x:v>
      </x:c>
      <x:c r="G46" s="18" t="str">
        <x:v>双模式</x:v>
      </x:c>
      <x:c r="H46" s="18" t="str">
        <x:v>是</x:v>
      </x:c>
      <x:c r="I46" s="18" t="str">
        <x:v>低</x:v>
      </x:c>
      <x:c r="J46" s="18" t="str">
        <x:v>LIVE_ALIGNED</x:v>
      </x:c>
      <x:c r="K46" s="19" t="n">
        <x:f>IFERROR(VLOOKUP(J46,'状态字典'!$A$5:$B$16,2,FALSE),0)</x:f>
        <x:v>85</x:v>
      </x:c>
      <x:c r="L46" s="18" t="str">
        <x:v>2026-08-26</x:v>
      </x:c>
      <x:c r="M46" s="18" t="str">
        <x:v>已有脱敏证据；严格限于状态所述子范围</x:v>
      </x:c>
      <x:c r="N46" s="18" t="str">
        <x:v>功能号全集见第三部分</x:v>
      </x:c>
      <x:c r="O46" s="18" t="str">
        <x:v>2026-08-26</x:v>
      </x:c>
      <x:c r="P46" s="18" t="str">
        <x:v>已有 Mac 子范围证据</x:v>
      </x:c>
      <x:c r="Q46" s="18" t="str">
        <x:v>LIVE_ALIGNED(calendar function only)（wire ReqGetThirdInfo,tag 11101）</x:v>
      </x:c>
      <x:c r="R46" s="18" t="str">
        <x:v>已有日历；Linux oracle → wire → Mac → 同参</x:v>
      </x:c>
      <x:c r="S46" s="18" t="str">
        <x:v>task_id</x:v>
      </x:c>
      <x:c r="T46" s="18" t="str">
        <x:v>ThirdInfoData{task_id,data_size,json_data}；JSON {"code","msg","body":{"data":[...]}}</x:v>
      </x:c>
      <x:c r="U46" s="18" t="str">
        <x:v>OnThirdInfo+OnStatus</x:v>
      </x:c>
      <x:c r="V46" s="18" t="str">
        <x:v>docs/PDF_API_INVENTORY.md</x:v>
      </x:c>
      <x:c r="W46" s="18" t="str">
        <x:v>已有日历</x:v>
      </x:c>
      <x:c r="X46" s="18" t="str">
        <x:v>其它功能号未验；分页/超长 JSON 截断行为未取证</x:v>
      </x:c>
      <x:c r="Y46" s="18" t="str"/>
    </x:row>
    <x:row r="47" ht="42" customHeight="1">
      <x:c r="A47" s="20" t="n">
        <x:v>43</x:v>
      </x:c>
      <x:c r="B47" s="18" t="str">
        <x:v>TGW C++ 开发手册</x:v>
      </x:c>
      <x:c r="C47" s="18" t="str">
        <x:v>39</x:v>
      </x:c>
      <x:c r="D47" s="18" t="str">
        <x:v>查询</x:v>
      </x:c>
      <x:c r="E47" s="18" t="str">
        <x:v>QueryETFInfo(etf_info_spi,item,cnt)</x:v>
      </x:c>
      <x:c r="F47" s="18" t="str">
        <x:v>QueryETFInfo(etf_info_spi,item,cnt)</x:v>
      </x:c>
      <x:c r="G47" s="18" t="str">
        <x:v>双模式</x:v>
      </x:c>
      <x:c r="H47" s="18" t="str">
        <x:v>是</x:v>
      </x:c>
      <x:c r="I47" s="18" t="str">
        <x:v>低</x:v>
      </x:c>
      <x:c r="J47" s="18" t="str">
        <x:v>LIVE_ALIGNED</x:v>
      </x:c>
      <x:c r="K47" s="19" t="n">
        <x:f>IFERROR(VLOOKUP(J47,'状态字典'!$A$5:$B$16,2,FALSE),0)</x:f>
        <x:v>85</x:v>
      </x:c>
      <x:c r="L47" s="18" t="str">
        <x:v>2026-08-26</x:v>
      </x:c>
      <x:c r="M47" s="18" t="str">
        <x:v>已有脱敏证据；严格限于状态所述子范围</x:v>
      </x:c>
      <x:c r="N47" s="18" t="str">
        <x:v>市场仅沪深有效；spi 生命周期须持续到回调后</x:v>
      </x:c>
      <x:c r="O47" s="18" t="str">
        <x:v>2026-08-26</x:v>
      </x:c>
      <x:c r="P47" s="18" t="str">
        <x:v>已有 Mac 子范围证据</x:v>
      </x:c>
      <x:c r="Q47" s="18" t="str">
        <x:v>LIVE_ALIGNED(single SSE ETF only)：push WSS ReqGetETFCodeTableList，Security="code\</x:v>
      </x:c>
      <x:c r="R47" s="18" t="str">
        <x:v>market"，tag "111"，完成消息 ReqGetCodelistComplete；Linux oracle → wire → Mac → 同参</x:v>
      </x:c>
      <x:c r="S47" s="18" t="str">
        <x:v>SubCodeTableItem{market int32,code[32]} pack(1)=36</x:v>
      </x:c>
      <x:c r="T47" s="18" t="str">
        <x:v>MDETFCodeTableRecord 固定 35 字段/507 字节 + LP64 std::vector 24 字节；成分股 ConstituentStockInfo pack(1)=245</x:v>
      </x:c>
      <x:c r="U47" s="18" t="str">
        <x:v>OnMDETFInfo+OnStatus</x:v>
      </x:c>
      <x:c r="V47" s="18" t="str">
        <x:v>docs/PDF_API_INVENTORY.md</x:v>
      </x:c>
      <x:c r="W47" s="18" t="str">
        <x:v>market"，tag "111"，完成消息 ReqGetCodelistComplete</x:v>
      </x:c>
      <x:c r="X47" s="18" t="str">
        <x:v>已有 510300.SSE：Linux/Mac 均 1 条基础信息 35 字段 + 300 条成分 × 13 字段</x:v>
      </x:c>
      <x:c r="Y47" s="18" t="str"/>
    </x:row>
    <x:row r="48" ht="42" customHeight="1">
      <x:c r="A48" s="20" t="n">
        <x:v>44</x:v>
      </x:c>
      <x:c r="B48" s="18" t="str">
        <x:v>TGW C++ 开发手册</x:v>
      </x:c>
      <x:c r="C48" s="18" t="str">
        <x:v>40</x:v>
      </x:c>
      <x:c r="D48" s="18" t="str">
        <x:v>查询回调</x:v>
      </x:c>
      <x:c r="E48" s="18" t="str">
        <x:v>IGMDSnapshotSpi::OnMDSnapshotL2(L2*,cnt)</x:v>
      </x:c>
      <x:c r="F48" s="18" t="str">
        <x:v>IGMDSnapshotSpi::OnMDSnapshotL2(L2*,cnt)</x:v>
      </x:c>
      <x:c r="G48" s="18" t="str">
        <x:v>仅托管机房</x:v>
      </x:c>
      <x:c r="H48" s="18" t="str">
        <x:v>否（模式不适用）</x:v>
      </x:c>
      <x:c r="I48" s="18" t="str">
        <x:v>低</x:v>
      </x:c>
      <x:c r="J48" s="18" t="str">
        <x:v>OUT_OF_SCOPE_COLOC</x:v>
      </x:c>
      <x:c r="K48" s="19" t="n">
        <x:f>IFERROR(VLOOKUP(J48,'状态字典'!$A$5:$B$16,2,FALSE),0)</x:f>
        <x:v>0</x:v>
      </x:c>
      <x:c r="L48" s="18" t="str"/>
      <x:c r="M48" s="18" t="str">
        <x:v>未执行</x:v>
      </x:c>
      <x:c r="N48" s="18" t="str">
        <x:v>—</x:v>
      </x:c>
      <x:c r="O48" s="18" t="str"/>
      <x:c r="P48" s="18" t="str">
        <x:v>待实现/复验</x:v>
      </x:c>
      <x:c r="Q48" s="18" t="str">
        <x:v>OUT_OF_SCOPE_COLOC</x:v>
      </x:c>
      <x:c r="R48" s="18" t="str">
        <x:v>无；Linux oracle → wire → Mac → 同参</x:v>
      </x:c>
      <x:c r="S48" s="18" t="str">
        <x:v>#33 data_type=0</x:v>
      </x:c>
      <x:c r="T48" s="18" t="str">
        <x:v>MDSnapshotL2（57+ 字段）</x:v>
      </x:c>
      <x:c r="U48" s="18" t="str">
        <x:v>本身</x:v>
      </x:c>
      <x:c r="V48" s="18" t="str">
        <x:v>docs/PDF_API_INVENTORY.md</x:v>
      </x:c>
      <x:c r="W48" s="18" t="str">
        <x:v>无</x:v>
      </x:c>
      <x:c r="X48" s="18" t="str">
        <x:v>—</x:v>
      </x:c>
      <x:c r="Y48" s="18" t="str"/>
    </x:row>
    <x:row r="49" ht="42" customHeight="1">
      <x:c r="A49" s="20" t="n">
        <x:v>45</x:v>
      </x:c>
      <x:c r="B49" s="18" t="str">
        <x:v>TGW C++ 开发手册</x:v>
      </x:c>
      <x:c r="C49" s="18" t="str">
        <x:v>41</x:v>
      </x:c>
      <x:c r="D49" s="18" t="str">
        <x:v>查询回调</x:v>
      </x:c>
      <x:c r="E49" s="18" t="str">
        <x:v>OnMDHKExOrderSnapshot / OnMDHKExOrderBrokerSnapshot</x:v>
      </x:c>
      <x:c r="F49" s="18" t="str">
        <x:v>OnMDHKExOrderSnapshot / OnMDHKExOrderBrokerSnapshot</x:v>
      </x:c>
      <x:c r="G49" s="18" t="str">
        <x:v>双模式（PDF）/商业行情权限</x:v>
      </x:c>
      <x:c r="H49" s="18" t="str">
        <x:v>是</x:v>
      </x:c>
      <x:c r="I49" s="18" t="str">
        <x:v>低</x:v>
      </x:c>
      <x:c r="J49" s="18" t="str">
        <x:v>INVENTORIED</x:v>
      </x:c>
      <x:c r="K49" s="19" t="n">
        <x:f>IFERROR(VLOOKUP(J49,'状态字典'!$A$5:$B$16,2,FALSE),0)</x:f>
        <x:v>10</x:v>
      </x:c>
      <x:c r="L49" s="18" t="str"/>
      <x:c r="M49" s="18" t="str">
        <x:v>未执行</x:v>
      </x:c>
      <x:c r="N49" s="18" t="str">
        <x:v>InternetDataPermission.kHKExSnapshot=29</x:v>
      </x:c>
      <x:c r="O49" s="18" t="str"/>
      <x:c r="P49" s="18" t="str">
        <x:v>待实现/复验</x:v>
      </x:c>
      <x:c r="Q49" s="18" t="str">
        <x:v>INVENTORIED</x:v>
      </x:c>
      <x:c r="R49" s="18" t="str">
        <x:v>单港股单日 data_type=1；Linux oracle → wire → Mac → 同参</x:v>
      </x:c>
      <x:c r="S49" s="18" t="str">
        <x:v>#33 data_type=1/2</x:v>
      </x:c>
      <x:c r="T49" s="18" t="str">
        <x:v>MDHKExOrderSnapshot（嵌套 20 档）、MDHKExOrderBrokerSnapshot（40 席位）</x:v>
      </x:c>
      <x:c r="U49" s="18" t="str">
        <x:v>本身</x:v>
      </x:c>
      <x:c r="V49" s="18" t="str">
        <x:v>docs/PDF_API_INVENTORY.md</x:v>
      </x:c>
      <x:c r="W49" s="18" t="str">
        <x:v>单港股单日 data_type=1</x:v>
      </x:c>
      <x:c r="X49" s="18" t="str">
        <x:v>商业港股权限大概率未开通；结构嵌套深</x:v>
      </x:c>
      <x:c r="Y49" s="18" t="str"/>
    </x:row>
    <x:row r="50" ht="42" customHeight="1">
      <x:c r="A50" s="20" t="n">
        <x:v>46</x:v>
      </x:c>
      <x:c r="B50" s="18" t="str">
        <x:v>TGW C++ 开发手册</x:v>
      </x:c>
      <x:c r="C50" s="18" t="str">
        <x:v>44–45</x:v>
      </x:c>
      <x:c r="D50" s="18" t="str">
        <x:v>回放</x:v>
      </x:c>
      <x:c r="E50" s="18" t="str">
        <x:v>ReplayKline(history_spi,ReqReplayKline)</x:v>
      </x:c>
      <x:c r="F50" s="18" t="str">
        <x:v>ReplayKline(history_spi,ReqReplayKline)</x:v>
      </x:c>
      <x:c r="G50" s="18" t="str">
        <x:v>仅托管机房(RTCP)</x:v>
      </x:c>
      <x:c r="H50" s="18" t="str">
        <x:v>否（模式不适用）</x:v>
      </x:c>
      <x:c r="I50" s="18" t="str">
        <x:v>中</x:v>
      </x:c>
      <x:c r="J50" s="18" t="str">
        <x:v>OUT_OF_SCOPE_COLOC</x:v>
      </x:c>
      <x:c r="K50" s="19" t="n">
        <x:f>IFERROR(VLOOKUP(J50,'状态字典'!$A$5:$B$16,2,FALSE),0)</x:f>
        <x:v>0</x:v>
      </x:c>
      <x:c r="L50" s="18" t="str"/>
      <x:c r="M50" s="18" t="str">
        <x:v>未执行</x:v>
      </x:c>
      <x:c r="N50" s="18" t="str">
        <x:v>cyc_type 不支持周月季年；replay_speed 暂不可用</x:v>
      </x:c>
      <x:c r="O50" s="18" t="str"/>
      <x:c r="P50" s="18" t="str">
        <x:v>待实现/复验</x:v>
      </x:c>
      <x:c r="Q50" s="18" t="str">
        <x:v>OUT_OF_SCOPE_COLOC</x:v>
      </x:c>
      <x:c r="R50" s="18" t="str">
        <x:v>无；Linux oracle → wire → Mac → 同参</x:v>
      </x:c>
      <x:c r="S50" s="18" t="str">
        <x:v>ReqReplayKline+ReqHistoryItem[]</x:v>
      </x:c>
      <x:c r="T50" s="18" t="str">
        <x:v>MDKLine 带 task_id</x:v>
      </x:c>
      <x:c r="U50" s="18" t="str">
        <x:v>OnMDKline(task_id,...)</x:v>
      </x:c>
      <x:c r="V50" s="18" t="str">
        <x:v>docs/PDF_API_INVENTORY.md</x:v>
      </x:c>
      <x:c r="W50" s="18" t="str">
        <x:v>无</x:v>
      </x:c>
      <x:c r="X50" s="18" t="str">
        <x:v>—</x:v>
      </x:c>
      <x:c r="Y50" s="18" t="str"/>
    </x:row>
    <x:row r="51" ht="42" customHeight="1">
      <x:c r="A51" s="20" t="n">
        <x:v>47</x:v>
      </x:c>
      <x:c r="B51" s="18" t="str">
        <x:v>TGW C++ 开发手册</x:v>
      </x:c>
      <x:c r="C51" s="18" t="str">
        <x:v>45–46</x:v>
      </x:c>
      <x:c r="D51" s="18" t="str">
        <x:v>回放</x:v>
      </x:c>
      <x:c r="E51" s="18" t="str">
        <x:v>ReplayRequest(history_spi,ReqReplay)</x:v>
      </x:c>
      <x:c r="F51" s="18" t="str">
        <x:v>ReplayRequest(history_spi,ReqReplay)</x:v>
      </x:c>
      <x:c r="G51" s="18" t="str">
        <x:v>仅托管机房(RTCP)</x:v>
      </x:c>
      <x:c r="H51" s="18" t="str">
        <x:v>否（模式不适用）</x:v>
      </x:c>
      <x:c r="I51" s="18" t="str">
        <x:v>中</x:v>
      </x:c>
      <x:c r="J51" s="18" t="str">
        <x:v>OUT_OF_SCOPE_COLOC</x:v>
      </x:c>
      <x:c r="K51" s="19" t="n">
        <x:f>IFERROR(VLOOKUP(J51,'状态字典'!$A$5:$B$16,2,FALSE),0)</x:f>
        <x:v>0</x:v>
      </x:c>
      <x:c r="L51" s="18" t="str"/>
      <x:c r="M51" s="18" t="str">
        <x:v>未执行</x:v>
      </x:c>
      <x:c r="N51" s="18" t="str">
        <x:v>md_data_type=kTickExecution=10013/kSnapshot=10014</x:v>
      </x:c>
      <x:c r="O51" s="18" t="str"/>
      <x:c r="P51" s="18" t="str">
        <x:v>待实现/复验</x:v>
      </x:c>
      <x:c r="Q51" s="18" t="str">
        <x:v>OUT_OF_SCOPE_COLOC</x:v>
      </x:c>
      <x:c r="R51" s="18" t="str">
        <x:v>无；Linux oracle → wire → Mac → 同参</x:v>
      </x:c>
      <x:c r="S51" s="18" t="str">
        <x:v>ReqReplay{md_data_type,date,time,speed,task_id,items[],cnt}</x:v>
      </x:c>
      <x:c r="T51" s="18" t="str">
        <x:v>MDSnapshotL2/MDTickExecution 带 task_id</x:v>
      </x:c>
      <x:c r="U51" s="18" t="str">
        <x:v>OnMDSnapshot/OnMDTickExecution(task_id,...)</x:v>
      </x:c>
      <x:c r="V51" s="18" t="str">
        <x:v>docs/PDF_API_INVENTORY.md</x:v>
      </x:c>
      <x:c r="W51" s="18" t="str">
        <x:v>无</x:v>
      </x:c>
      <x:c r="X51" s="18" t="str">
        <x:v>—</x:v>
      </x:c>
      <x:c r="Y51" s="18" t="str"/>
    </x:row>
    <x:row r="52" ht="42" customHeight="1">
      <x:c r="A52" s="20" t="n">
        <x:v>48</x:v>
      </x:c>
      <x:c r="B52" s="18" t="str">
        <x:v>TGW C++ 开发手册</x:v>
      </x:c>
      <x:c r="C52" s="18" t="str">
        <x:v>46</x:v>
      </x:c>
      <x:c r="D52" s="18" t="str">
        <x:v>回放</x:v>
      </x:c>
      <x:c r="E52" s="18" t="str">
        <x:v>CancelTask(task_id)</x:v>
      </x:c>
      <x:c r="F52" s="18" t="str">
        <x:v>CancelTask(task_id)</x:v>
      </x:c>
      <x:c r="G52" s="18" t="str">
        <x:v>仅托管机房</x:v>
      </x:c>
      <x:c r="H52" s="18" t="str">
        <x:v>否（模式不适用）</x:v>
      </x:c>
      <x:c r="I52" s="18" t="str">
        <x:v>低</x:v>
      </x:c>
      <x:c r="J52" s="18" t="str">
        <x:v>OUT_OF_SCOPE_COLOC</x:v>
      </x:c>
      <x:c r="K52" s="19" t="n">
        <x:f>IFERROR(VLOOKUP(J52,'状态字典'!$A$5:$B$16,2,FALSE),0)</x:f>
        <x:v>0</x:v>
      </x:c>
      <x:c r="L52" s="18" t="str"/>
      <x:c r="M52" s="18" t="str">
        <x:v>未执行</x:v>
      </x:c>
      <x:c r="N52" s="18" t="str">
        <x:v>HistoryTaskStatus 0..4</x:v>
      </x:c>
      <x:c r="O52" s="18" t="str"/>
      <x:c r="P52" s="18" t="str">
        <x:v>待实现/复验</x:v>
      </x:c>
      <x:c r="Q52" s="18" t="str">
        <x:v>OUT_OF_SCOPE_COLOC</x:v>
      </x:c>
      <x:c r="R52" s="18" t="str">
        <x:v>无；Linux oracle → wire → Mac → 同参</x:v>
      </x:c>
      <x:c r="S52" s="18" t="str">
        <x:v>int64 task_id（0=全部）</x:v>
      </x:c>
      <x:c r="T52" s="18" t="str">
        <x:v>int32</x:v>
      </x:c>
      <x:c r="U52" s="18" t="str">
        <x:v>OnRspTaskStatus</x:v>
      </x:c>
      <x:c r="V52" s="18" t="str">
        <x:v>docs/PDF_API_INVENTORY.md</x:v>
      </x:c>
      <x:c r="W52" s="18" t="str">
        <x:v>无</x:v>
      </x:c>
      <x:c r="X52" s="18" t="str">
        <x:v>—</x:v>
      </x:c>
      <x:c r="Y52" s="18" t="str"/>
    </x:row>
    <x:row r="53" ht="42" customHeight="1">
      <x:c r="A53" s="20" t="n">
        <x:v>49</x:v>
      </x:c>
      <x:c r="B53" s="18" t="str">
        <x:v>TGW C++ 开发手册</x:v>
      </x:c>
      <x:c r="C53" s="18" t="str">
        <x:v>62</x:v>
      </x:c>
      <x:c r="D53" s="18" t="str">
        <x:v>枚举</x:v>
      </x:c>
      <x:c r="E53" s="18" t="str">
        <x:v>ErrorCode</x:v>
      </x:c>
      <x:c r="F53" s="18" t="str">
        <x:v>ErrorCode</x:v>
      </x:c>
      <x:c r="G53" s="18" t="str">
        <x:v>按文档</x:v>
      </x:c>
      <x:c r="H53" s="18" t="str">
        <x:v>是</x:v>
      </x:c>
      <x:c r="I53" s="18" t="str">
        <x:v>低</x:v>
      </x:c>
      <x:c r="J53" s="18" t="str">
        <x:v>STATIC_MATCHED</x:v>
      </x:c>
      <x:c r="K53" s="19" t="n">
        <x:f>IFERROR(VLOOKUP(J53,'状态字典'!$A$5:$B$16,2,FALSE),0)</x:f>
        <x:v>25</x:v>
      </x:c>
      <x:c r="L53" s="18" t="str"/>
      <x:c r="M53" s="18" t="str">
        <x:v>未执行</x:v>
      </x:c>
      <x:c r="N53" s="18" t="str">
        <x:v>待逐接口取证</x:v>
      </x:c>
      <x:c r="O53" s="18" t="str"/>
      <x:c r="P53" s="18" t="str">
        <x:v>待实现/复验</x:v>
      </x:c>
      <x:c r="Q53" s="18" t="str">
        <x:v>STATIC_MATCHED(official table)（Mac ErrorCode/GetErrorMsg 已对齐官方 wheel 全表；快照空数据 -76 已线上同参，其余码触发条件未逐项取证）</x:v>
      </x:c>
      <x:c r="R53" s="18" t="str">
        <x:v>按单接口最小只读样本；Linux oracle → wire → Mac → 同参</x:v>
      </x:c>
      <x:c r="S53" s="18" t="str">
        <x:v>参见 PDF/头文件</x:v>
      </x:c>
      <x:c r="T53" s="18" t="str">
        <x:v>参见 PDF 返回结构；待逐列登记类型</x:v>
      </x:c>
      <x:c r="U53" s="18" t="str">
        <x:v>同步/回调合约待逐项核对</x:v>
      </x:c>
      <x:c r="V53" s="18" t="str">
        <x:v>docs/PDF_API_INVENTORY.md</x:v>
      </x:c>
      <x:c r="W53" s="18" t="str">
        <x:v>领取单接口任务卡并按工作流闭环</x:v>
      </x:c>
      <x:c r="X53" s="18" t="str">
        <x:v>其余错误码的线上触发条件需随各接口逐步验证</x:v>
      </x:c>
      <x:c r="Y53" s="18" t="str"/>
    </x:row>
    <x:row r="54" ht="42" customHeight="1">
      <x:c r="A54" s="20" t="n">
        <x:v>50</x:v>
      </x:c>
      <x:c r="B54" s="18" t="str">
        <x:v>TGW C++ 开发手册</x:v>
      </x:c>
      <x:c r="C54" s="18" t="str">
        <x:v>64–65</x:v>
      </x:c>
      <x:c r="D54" s="18" t="str">
        <x:v>枚举</x:v>
      </x:c>
      <x:c r="E54" s="18" t="str">
        <x:v>MDDatatype</x:v>
      </x:c>
      <x:c r="F54" s="18" t="str">
        <x:v>MDDatatype</x:v>
      </x:c>
      <x:c r="G54" s="18" t="str">
        <x:v>按文档</x:v>
      </x:c>
      <x:c r="H54" s="18" t="str">
        <x:v>是</x:v>
      </x:c>
      <x:c r="I54" s="18" t="str">
        <x:v>低</x:v>
      </x:c>
      <x:c r="J54" s="18" t="str">
        <x:v>INVENTORIED</x:v>
      </x:c>
      <x:c r="K54" s="19" t="n">
        <x:f>IFERROR(VLOOKUP(J54,'状态字典'!$A$5:$B$16,2,FALSE),0)</x:f>
        <x:v>10</x:v>
      </x:c>
      <x:c r="L54" s="18" t="str"/>
      <x:c r="M54" s="18" t="str">
        <x:v>未执行</x:v>
      </x:c>
      <x:c r="N54" s="18" t="str">
        <x:v>待逐接口取证</x:v>
      </x:c>
      <x:c r="O54" s="18" t="str"/>
      <x:c r="P54" s="18" t="str">
        <x:v>待实现/复验</x:v>
      </x:c>
      <x:c r="Q54" s="18" t="str">
        <x:v>daily=10008、weekly=10009、monthly=10010 已证；其余 INVENTORIED</x:v>
      </x:c>
      <x:c r="R54" s="18" t="str">
        <x:v>按单接口最小只读样本；Linux oracle → wire → Mac → 同参</x:v>
      </x:c>
      <x:c r="S54" s="18" t="str">
        <x:v>参见 PDF/头文件</x:v>
      </x:c>
      <x:c r="T54" s="18" t="str">
        <x:v>参见 PDF 返回结构；待逐列登记类型</x:v>
      </x:c>
      <x:c r="U54" s="18" t="str">
        <x:v>同步/回调合约待逐项核对</x:v>
      </x:c>
      <x:c r="V54" s="18" t="str">
        <x:v>docs/PDF_API_INVENTORY.md</x:v>
      </x:c>
      <x:c r="W54" s="18" t="str">
        <x:v>领取单接口任务卡并按工作流闭环</x:v>
      </x:c>
      <x:c r="X54" s="18" t="str">
        <x:v>季/年及分钟族 wire 值未取证</x:v>
      </x:c>
      <x:c r="Y54" s="18" t="str"/>
    </x:row>
    <x:row r="55" ht="42" customHeight="1">
      <x:c r="A55" s="20" t="n">
        <x:v>51</x:v>
      </x:c>
      <x:c r="B55" s="18" t="str">
        <x:v>TGW C++ 开发手册</x:v>
      </x:c>
      <x:c r="C55" s="18" t="str">
        <x:v>65</x:v>
      </x:c>
      <x:c r="D55" s="18" t="str">
        <x:v>枚举</x:v>
      </x:c>
      <x:c r="E55" s="18" t="str">
        <x:v>MarketType</x:v>
      </x:c>
      <x:c r="F55" s="18" t="str">
        <x:v>MarketType</x:v>
      </x:c>
      <x:c r="G55" s="18" t="str">
        <x:v>按文档</x:v>
      </x:c>
      <x:c r="H55" s="18" t="str">
        <x:v>部分（101/102/103 已涉）</x:v>
      </x:c>
      <x:c r="I55" s="18" t="str">
        <x:v>低</x:v>
      </x:c>
      <x:c r="J55" s="18" t="str">
        <x:v>LIVE_ALIGNED</x:v>
      </x:c>
      <x:c r="K55" s="19" t="n">
        <x:f>IFERROR(VLOOKUP(J55,'状态字典'!$A$5:$B$16,2,FALSE),0)</x:f>
        <x:v>85</x:v>
      </x:c>
      <x:c r="L55" s="18" t="str">
        <x:v>2026-08-26</x:v>
      </x:c>
      <x:c r="M55" s="18" t="str">
        <x:v>已有脱敏证据；严格限于状态所述子范围</x:v>
      </x:c>
      <x:c r="N55" s="18" t="str">
        <x:v>待逐接口取证</x:v>
      </x:c>
      <x:c r="O55" s="18" t="str">
        <x:v>2026-08-26</x:v>
      </x:c>
      <x:c r="P55" s="18" t="str">
        <x:v>已有 Mac 子范围证据</x:v>
      </x:c>
      <x:c r="Q55" s="18" t="str">
        <x:v>LIVE_ALIGNED 子范围外 INVENTORIED</x:v>
      </x:c>
      <x:c r="R55" s="18" t="str">
        <x:v>按单接口最小只读样本；Linux oracle → wire → Mac → 同参</x:v>
      </x:c>
      <x:c r="S55" s="18" t="str">
        <x:v>参见 PDF/头文件</x:v>
      </x:c>
      <x:c r="T55" s="18" t="str">
        <x:v>参见 PDF 返回结构；待逐列登记类型</x:v>
      </x:c>
      <x:c r="U55" s="18" t="str">
        <x:v>同步/回调合约待逐项核对</x:v>
      </x:c>
      <x:c r="V55" s="18" t="str">
        <x:v>docs/PDF_API_INVENTORY.md</x:v>
      </x:c>
      <x:c r="W55" s="18" t="str">
        <x:v>领取单接口任务卡并按工作流闭环</x:v>
      </x:c>
      <x:c r="X55" s="18" t="str">
        <x:v>HKT .SZ 路由未验</x:v>
      </x:c>
      <x:c r="Y55" s="18" t="str"/>
    </x:row>
    <x:row r="56" ht="42" customHeight="1">
      <x:c r="A56" s="20" t="n">
        <x:v>52</x:v>
      </x:c>
      <x:c r="B56" s="18" t="str">
        <x:v>TGW C++ 开发手册</x:v>
      </x:c>
      <x:c r="C56" s="18" t="str">
        <x:v>66–67</x:v>
      </x:c>
      <x:c r="D56" s="18" t="str">
        <x:v>枚举</x:v>
      </x:c>
      <x:c r="E56" s="18" t="str">
        <x:v>SubscribeDataType</x:v>
      </x:c>
      <x:c r="F56" s="18" t="str">
        <x:v>SubscribeDataType</x:v>
      </x:c>
      <x:c r="G56" s="18" t="str">
        <x:v>按文档</x:v>
      </x:c>
      <x:c r="H56" s="18" t="str">
        <x:v>否（待开盘）</x:v>
      </x:c>
      <x:c r="I56" s="18" t="str">
        <x:v>中</x:v>
      </x:c>
      <x:c r="J56" s="18" t="str">
        <x:v>INVENTORIED</x:v>
      </x:c>
      <x:c r="K56" s="19" t="n">
        <x:f>IFERROR(VLOOKUP(J56,'状态字典'!$A$5:$B$16,2,FALSE),0)</x:f>
        <x:v>10</x:v>
      </x:c>
      <x:c r="L56" s="18" t="str"/>
      <x:c r="M56" s="18" t="str">
        <x:v>未执行</x:v>
      </x:c>
      <x:c r="N56" s="18" t="str">
        <x:v>待逐接口取证</x:v>
      </x:c>
      <x:c r="O56" s="18" t="str"/>
      <x:c r="P56" s="18" t="str">
        <x:v>待实现/复验</x:v>
      </x:c>
      <x:c r="Q56" s="18" t="str">
        <x:v>10/12 已证</x:v>
      </x:c>
      <x:c r="R56" s="18" t="str">
        <x:v>按单接口最小只读样本；Linux oracle → wire → Mac → 同参</x:v>
      </x:c>
      <x:c r="S56" s="18" t="str">
        <x:v>参见 PDF/头文件</x:v>
      </x:c>
      <x:c r="T56" s="18" t="str">
        <x:v>参见 PDF 返回结构；待逐列登记类型</x:v>
      </x:c>
      <x:c r="U56" s="18" t="str">
        <x:v>同步/回调合约待逐项核对</x:v>
      </x:c>
      <x:c r="V56" s="18" t="str">
        <x:v>docs/PDF_API_INVENTORY.md</x:v>
      </x:c>
      <x:c r="W56" s="18" t="str">
        <x:v>领取单接口任务卡并按工作流闭环</x:v>
      </x:c>
      <x:c r="X56" s="18" t="str">
        <x:v>21–24 仅存在于 HDR，PDF 未记载，属 HDR-only 面</x:v>
      </x:c>
      <x:c r="Y56" s="18" t="str"/>
    </x:row>
    <x:row r="57" ht="42" customHeight="1">
      <x:c r="A57" s="20" t="n">
        <x:v>53</x:v>
      </x:c>
      <x:c r="B57" s="18" t="str">
        <x:v>TGW C++ 开发手册</x:v>
      </x:c>
      <x:c r="C57" s="18" t="str">
        <x:v>67</x:v>
      </x:c>
      <x:c r="D57" s="18" t="str">
        <x:v>枚举</x:v>
      </x:c>
      <x:c r="E57" s="18" t="str">
        <x:v>VarietyCategory / SubscribeType / SubscribeDerivedDataType</x:v>
      </x:c>
      <x:c r="F57" s="18" t="str">
        <x:v>VarietyCategory / SubscribeType / SubscribeDerivedDataType</x:v>
      </x:c>
      <x:c r="G57" s="18" t="str">
        <x:v>按文档</x:v>
      </x:c>
      <x:c r="H57" s="18" t="str">
        <x:v>是</x:v>
      </x:c>
      <x:c r="I57" s="18" t="str">
        <x:v>中</x:v>
      </x:c>
      <x:c r="J57" s="18" t="str">
        <x:v>INVENTORIED</x:v>
      </x:c>
      <x:c r="K57" s="19" t="n">
        <x:f>IFERROR(VLOOKUP(J57,'状态字典'!$A$5:$B$16,2,FALSE),0)</x:f>
        <x:v>10</x:v>
      </x:c>
      <x:c r="L57" s="18" t="str"/>
      <x:c r="M57" s="18" t="str">
        <x:v>未执行</x:v>
      </x:c>
      <x:c r="N57" s="18" t="str">
        <x:v>待逐接口取证</x:v>
      </x:c>
      <x:c r="O57" s="18" t="str"/>
      <x:c r="P57" s="18" t="str">
        <x:v>待实现/复验</x:v>
      </x:c>
      <x:c r="Q57" s="18" t="str">
        <x:v>INVENTORIED</x:v>
      </x:c>
      <x:c r="R57" s="18" t="str">
        <x:v>按单接口最小只读样本；Linux oracle → wire → Mac → 同参</x:v>
      </x:c>
      <x:c r="S57" s="18" t="str">
        <x:v>参见 PDF/头文件</x:v>
      </x:c>
      <x:c r="T57" s="18" t="str">
        <x:v>参见 PDF 返回结构；待逐列登记类型</x:v>
      </x:c>
      <x:c r="U57" s="18" t="str">
        <x:v>同步/回调合约待逐项核对</x:v>
      </x:c>
      <x:c r="V57" s="18" t="str">
        <x:v>docs/PDF_API_INVENTORY.md</x:v>
      </x:c>
      <x:c r="W57" s="18" t="str">
        <x:v>领取单接口任务卡并按工作流闭环</x:v>
      </x:c>
      <x:c r="X57" s="18" t="str">
        <x:v>category_type 仅互联网有效</x:v>
      </x:c>
      <x:c r="Y57" s="18" t="str"/>
    </x:row>
    <x:row r="58" ht="42" customHeight="1">
      <x:c r="A58" s="20" t="n">
        <x:v>54</x:v>
      </x:c>
      <x:c r="B58" s="18" t="str">
        <x:v>TGW C++ 开发手册</x:v>
      </x:c>
      <x:c r="C58" s="18" t="str">
        <x:v>68–87</x:v>
      </x:c>
      <x:c r="D58" s="18" t="str">
        <x:v>数据结构</x:v>
      </x:c>
      <x:c r="E58" s="18" t="str">
        <x:v>第5章全部行情结构（MDKLine…ConstituentStockInfo/MDETFCodeTableRecord）</x:v>
      </x:c>
      <x:c r="F58" s="18" t="str">
        <x:v>第5章全部行情结构（MDKLine…ConstituentStockInfo/MDETFCodeTableRecord）</x:v>
      </x:c>
      <x:c r="G58" s="18" t="str">
        <x:v>按文档</x:v>
      </x:c>
      <x:c r="H58" s="18" t="str">
        <x:v>是</x:v>
      </x:c>
      <x:c r="I58" s="18" t="str">
        <x:v>低</x:v>
      </x:c>
      <x:c r="J58" s="18" t="str">
        <x:v>INVENTORIED</x:v>
      </x:c>
      <x:c r="K58" s="19" t="n">
        <x:f>IFERROR(VLOOKUP(J58,'状态字典'!$A$5:$B$16,2,FALSE),0)</x:f>
        <x:v>10</x:v>
      </x:c>
      <x:c r="L58" s="18" t="str"/>
      <x:c r="M58" s="18" t="str">
        <x:v>未执行</x:v>
      </x:c>
      <x:c r="N58" s="18" t="str">
        <x:v>待逐接口取证</x:v>
      </x:c>
      <x:c r="O58" s="18" t="str"/>
      <x:c r="P58" s="18" t="str">
        <x:v>待实现/复验</x:v>
      </x:c>
      <x:c r="Q58" s="18" t="str">
        <x:v>Cfg=145、SubscribeItem=42、SubCodeTableItem=36、ReqKline=71、ReqDefault=55、LogonResponse=14、ColocaCfg=22、MDCodeTable=191 已锁定；ETF 返回已按 35+成分13 字段 wire 容器验收</x:v>
      </x:c>
      <x:c r="R58" s="18" t="str">
        <x:v>按单接口最小只读样本；Linux oracle → wire → Mac → 同参</x:v>
      </x:c>
      <x:c r="S58" s="18" t="str">
        <x:v>参见 PDF/头文件</x:v>
      </x:c>
      <x:c r="T58" s="18" t="str">
        <x:v>参见 PDF 返回结构；待逐列登记类型</x:v>
      </x:c>
      <x:c r="U58" s="18" t="str">
        <x:v>同步/回调合约待逐项核对</x:v>
      </x:c>
      <x:c r="V58" s="18" t="str">
        <x:v>docs/PDF_API_INVENTORY.md</x:v>
      </x:c>
      <x:c r="W58" s="18" t="str">
        <x:v>领取单接口任务卡并按工作流闭环</x:v>
      </x:c>
      <x:c r="X58" s="18" t="str">
        <x:v>HDR 为 pack(1)；MDETFCodeTableRecord/MDOrderBook 含 vector 非定长，不整体 ctypes 化</x:v>
      </x:c>
      <x:c r="Y58" s="18" t="str"/>
    </x:row>
    <x:row r="59" ht="42" customHeight="1">
      <x:c r="A59" s="20" t="n">
        <x:v>55</x:v>
      </x:c>
      <x:c r="B59" s="18" t="str">
        <x:v>TGW C++ 开发手册</x:v>
      </x:c>
      <x:c r="C59" s="18" t="str">
        <x:v>94</x:v>
      </x:c>
      <x:c r="D59" s="18" t="str">
        <x:v>资讯-基础</x:v>
      </x:c>
      <x:c r="E59" s="18" t="str">
        <x:v>A010010001 A股基本资料</x:v>
      </x:c>
      <x:c r="F59" s="18" t="str">
        <x:v>A010010001 A股基本资料</x:v>
      </x:c>
      <x:c r="G59" s="18" t="str">
        <x:v>按文档</x:v>
      </x:c>
      <x:c r="H59" s="18" t="str">
        <x:v>是</x:v>
      </x:c>
      <x:c r="I59" s="18" t="str">
        <x:v>低</x:v>
      </x:c>
      <x:c r="J59" s="18" t="str">
        <x:v>INVENTORIED</x:v>
      </x:c>
      <x:c r="K59" s="19" t="n">
        <x:f>IFERROR(VLOOKUP(J59,'状态字典'!$A$5:$B$16,2,FALSE),0)</x:f>
        <x:v>10</x:v>
      </x:c>
      <x:c r="L59" s="18" t="str"/>
      <x:c r="M59" s="18" t="str">
        <x:v>未执行</x:v>
      </x:c>
      <x:c r="N59" s="18" t="str">
        <x:v>待逐接口取证</x:v>
      </x:c>
      <x:c r="O59" s="18" t="str"/>
      <x:c r="P59" s="18" t="str">
        <x:v>待实现/复验</x:v>
      </x:c>
      <x:c r="Q59" s="18" t="str">
        <x:v>INVENTORIED</x:v>
      </x:c>
      <x:c r="R59" s="18" t="str">
        <x:v>单代码单次；Linux oracle → wire → Mac → 同参</x:v>
      </x:c>
      <x:c r="S59" s="18" t="str">
        <x:v>（章节内详列）</x:v>
      </x:c>
      <x:c r="T59" s="18" t="str">
        <x:v>字段表</x:v>
      </x:c>
      <x:c r="U59" s="18" t="str">
        <x:v>同步/回调合约待逐项核对</x:v>
      </x:c>
      <x:c r="V59" s="18" t="str">
        <x:v>docs/PDF_API_INVENTORY.md</x:v>
      </x:c>
      <x:c r="W59" s="18" t="str">
        <x:v>单代码单次</x:v>
      </x:c>
      <x:c r="X59" s="18" t="str">
        <x:v>未验功能号显式失败</x:v>
      </x:c>
      <x:c r="Y59" s="18" t="str"/>
    </x:row>
    <x:row r="60" ht="42" customHeight="1">
      <x:c r="A60" s="20" t="n">
        <x:v>56</x:v>
      </x:c>
      <x:c r="B60" s="18" t="str">
        <x:v>TGW C++ 开发手册</x:v>
      </x:c>
      <x:c r="C60" s="18" t="str">
        <x:v>95</x:v>
      </x:c>
      <x:c r="D60" s="18" t="str">
        <x:v>资讯-基础</x:v>
      </x:c>
      <x:c r="E60" s="18" t="str">
        <x:v>A010010002 A股行业分类</x:v>
      </x:c>
      <x:c r="F60" s="18" t="str">
        <x:v>A010010002 A股行业分类</x:v>
      </x:c>
      <x:c r="G60" s="18" t="str">
        <x:v>按文档</x:v>
      </x:c>
      <x:c r="H60" s="18" t="str">
        <x:v>是</x:v>
      </x:c>
      <x:c r="I60" s="18" t="str">
        <x:v>低</x:v>
      </x:c>
      <x:c r="J60" s="18" t="str">
        <x:v>INVENTORIED</x:v>
      </x:c>
      <x:c r="K60" s="19" t="n">
        <x:f>IFERROR(VLOOKUP(J60,'状态字典'!$A$5:$B$16,2,FALSE),0)</x:f>
        <x:v>10</x:v>
      </x:c>
      <x:c r="L60" s="18" t="str"/>
      <x:c r="M60" s="18" t="str">
        <x:v>未执行</x:v>
      </x:c>
      <x:c r="N60" s="18" t="str">
        <x:v>待逐接口取证</x:v>
      </x:c>
      <x:c r="O60" s="18" t="str"/>
      <x:c r="P60" s="18" t="str">
        <x:v>待实现/复验</x:v>
      </x:c>
      <x:c r="Q60" s="18" t="str">
        <x:v>INVENTORIED</x:v>
      </x:c>
      <x:c r="R60" s="18" t="str">
        <x:v>单代码；Linux oracle → wire → Mac → 同参</x:v>
      </x:c>
      <x:c r="S60" s="18" t="str">
        <x:v>同上</x:v>
      </x:c>
      <x:c r="T60" s="18" t="str">
        <x:v>字段表</x:v>
      </x:c>
      <x:c r="U60" s="18" t="str">
        <x:v>同步/回调合约待逐项核对</x:v>
      </x:c>
      <x:c r="V60" s="18" t="str">
        <x:v>docs/PDF_API_INVENTORY.md</x:v>
      </x:c>
      <x:c r="W60" s="18" t="str">
        <x:v>单代码</x:v>
      </x:c>
      <x:c r="X60" s="18" t="str">
        <x:v>同上</x:v>
      </x:c>
      <x:c r="Y60" s="18" t="str"/>
    </x:row>
    <x:row r="61" ht="42" customHeight="1">
      <x:c r="A61" s="20" t="n">
        <x:v>57</x:v>
      </x:c>
      <x:c r="B61" s="18" t="str">
        <x:v>TGW C++ 开发手册</x:v>
      </x:c>
      <x:c r="C61" s="18" t="str">
        <x:v>96</x:v>
      </x:c>
      <x:c r="D61" s="18" t="str">
        <x:v>资讯-基础</x:v>
      </x:c>
      <x:c r="E61" s="18" t="str">
        <x:v>A010010003 公司简介</x:v>
      </x:c>
      <x:c r="F61" s="18" t="str">
        <x:v>A010010003 公司简介</x:v>
      </x:c>
      <x:c r="G61" s="18" t="str">
        <x:v>按文档</x:v>
      </x:c>
      <x:c r="H61" s="18" t="str">
        <x:v>是</x:v>
      </x:c>
      <x:c r="I61" s="18" t="str">
        <x:v>低</x:v>
      </x:c>
      <x:c r="J61" s="18" t="str">
        <x:v>INVENTORIED</x:v>
      </x:c>
      <x:c r="K61" s="19" t="n">
        <x:f>IFERROR(VLOOKUP(J61,'状态字典'!$A$5:$B$16,2,FALSE),0)</x:f>
        <x:v>10</x:v>
      </x:c>
      <x:c r="L61" s="18" t="str"/>
      <x:c r="M61" s="18" t="str">
        <x:v>未执行</x:v>
      </x:c>
      <x:c r="N61" s="18" t="str">
        <x:v>待逐接口取证</x:v>
      </x:c>
      <x:c r="O61" s="18" t="str"/>
      <x:c r="P61" s="18" t="str">
        <x:v>待实现/复验</x:v>
      </x:c>
      <x:c r="Q61" s="18" t="str">
        <x:v>INVENTORIED</x:v>
      </x:c>
      <x:c r="R61" s="18" t="str">
        <x:v>单代码；Linux oracle → wire → Mac → 同参</x:v>
      </x:c>
      <x:c r="S61" s="18" t="str">
        <x:v>同上</x:v>
      </x:c>
      <x:c r="T61" s="18" t="str">
        <x:v>字段表</x:v>
      </x:c>
      <x:c r="U61" s="18" t="str">
        <x:v>同步/回调合约待逐项核对</x:v>
      </x:c>
      <x:c r="V61" s="18" t="str">
        <x:v>docs/PDF_API_INVENTORY.md</x:v>
      </x:c>
      <x:c r="W61" s="18" t="str">
        <x:v>单代码</x:v>
      </x:c>
      <x:c r="X61" s="18" t="str">
        <x:v>同上</x:v>
      </x:c>
      <x:c r="Y61" s="18" t="str"/>
    </x:row>
    <x:row r="62" ht="42" customHeight="1">
      <x:c r="A62" s="20" t="n">
        <x:v>58</x:v>
      </x:c>
      <x:c r="B62" s="18" t="str">
        <x:v>TGW C++ 开发手册</x:v>
      </x:c>
      <x:c r="C62" s="18" t="str">
        <x:v>99</x:v>
      </x:c>
      <x:c r="D62" s="18" t="str">
        <x:v>资讯-基础</x:v>
      </x:c>
      <x:c r="E62" s="18" t="str">
        <x:v>A010010004 股本结构</x:v>
      </x:c>
      <x:c r="F62" s="18" t="str">
        <x:v>A010010004 股本结构</x:v>
      </x:c>
      <x:c r="G62" s="18" t="str">
        <x:v>按文档</x:v>
      </x:c>
      <x:c r="H62" s="18" t="str">
        <x:v>是</x:v>
      </x:c>
      <x:c r="I62" s="18" t="str">
        <x:v>低</x:v>
      </x:c>
      <x:c r="J62" s="18" t="str">
        <x:v>INVENTORIED</x:v>
      </x:c>
      <x:c r="K62" s="19" t="n">
        <x:f>IFERROR(VLOOKUP(J62,'状态字典'!$A$5:$B$16,2,FALSE),0)</x:f>
        <x:v>10</x:v>
      </x:c>
      <x:c r="L62" s="18" t="str"/>
      <x:c r="M62" s="18" t="str">
        <x:v>未执行</x:v>
      </x:c>
      <x:c r="N62" s="18" t="str">
        <x:v>待逐接口取证</x:v>
      </x:c>
      <x:c r="O62" s="18" t="str"/>
      <x:c r="P62" s="18" t="str">
        <x:v>待实现/复验</x:v>
      </x:c>
      <x:c r="Q62" s="18" t="str">
        <x:v>INVENTORIED</x:v>
      </x:c>
      <x:c r="R62" s="18" t="str">
        <x:v>单代码；Linux oracle → wire → Mac → 同参</x:v>
      </x:c>
      <x:c r="S62" s="18" t="str">
        <x:v>同上</x:v>
      </x:c>
      <x:c r="T62" s="18" t="str">
        <x:v>字段表</x:v>
      </x:c>
      <x:c r="U62" s="18" t="str">
        <x:v>同步/回调合约待逐项核对</x:v>
      </x:c>
      <x:c r="V62" s="18" t="str">
        <x:v>docs/PDF_API_INVENTORY.md</x:v>
      </x:c>
      <x:c r="W62" s="18" t="str">
        <x:v>单代码</x:v>
      </x:c>
      <x:c r="X62" s="18" t="str">
        <x:v>对应 AD get_equity_structure（推断）</x:v>
      </x:c>
      <x:c r="Y62" s="18" t="str"/>
    </x:row>
    <x:row r="63" ht="42" customHeight="1">
      <x:c r="A63" s="20" t="n">
        <x:v>59</x:v>
      </x:c>
      <x:c r="B63" s="18" t="str">
        <x:v>TGW C++ 开发手册</x:v>
      </x:c>
      <x:c r="C63" s="18" t="str">
        <x:v>102–103</x:v>
      </x:c>
      <x:c r="D63" s="18" t="str">
        <x:v>资讯-基础</x:v>
      </x:c>
      <x:c r="E63" s="18" t="str">
        <x:v>A010010005 公司主营业务</x:v>
      </x:c>
      <x:c r="F63" s="18" t="str">
        <x:v>A010010005 公司主营业务</x:v>
      </x:c>
      <x:c r="G63" s="18" t="str">
        <x:v>按文档</x:v>
      </x:c>
      <x:c r="H63" s="18" t="str">
        <x:v>是</x:v>
      </x:c>
      <x:c r="I63" s="18" t="str">
        <x:v>低</x:v>
      </x:c>
      <x:c r="J63" s="18" t="str">
        <x:v>INVENTORIED</x:v>
      </x:c>
      <x:c r="K63" s="19" t="n">
        <x:f>IFERROR(VLOOKUP(J63,'状态字典'!$A$5:$B$16,2,FALSE),0)</x:f>
        <x:v>10</x:v>
      </x:c>
      <x:c r="L63" s="18" t="str"/>
      <x:c r="M63" s="18" t="str">
        <x:v>未执行</x:v>
      </x:c>
      <x:c r="N63" s="18" t="str">
        <x:v>待逐接口取证</x:v>
      </x:c>
      <x:c r="O63" s="18" t="str"/>
      <x:c r="P63" s="18" t="str">
        <x:v>待实现/复验</x:v>
      </x:c>
      <x:c r="Q63" s="18" t="str">
        <x:v>INVENTORIED</x:v>
      </x:c>
      <x:c r="R63" s="18" t="str">
        <x:v>单代码；Linux oracle → wire → Mac → 同参</x:v>
      </x:c>
      <x:c r="S63" s="18" t="str">
        <x:v>同上</x:v>
      </x:c>
      <x:c r="T63" s="18" t="str">
        <x:v>字段表</x:v>
      </x:c>
      <x:c r="U63" s="18" t="str">
        <x:v>同步/回调合约待逐项核对</x:v>
      </x:c>
      <x:c r="V63" s="18" t="str">
        <x:v>docs/PDF_API_INVENTORY.md</x:v>
      </x:c>
      <x:c r="W63" s="18" t="str">
        <x:v>单代码</x:v>
      </x:c>
      <x:c r="X63" s="18" t="str">
        <x:v>—</x:v>
      </x:c>
      <x:c r="Y63" s="18" t="str"/>
    </x:row>
    <x:row r="64" ht="42" customHeight="1">
      <x:c r="A64" s="20" t="n">
        <x:v>60</x:v>
      </x:c>
      <x:c r="B64" s="18" t="str">
        <x:v>TGW C++ 开发手册</x:v>
      </x:c>
      <x:c r="C64" s="18" t="str">
        <x:v>104</x:v>
      </x:c>
      <x:c r="D64" s="18" t="str">
        <x:v>资讯-基础</x:v>
      </x:c>
      <x:c r="E64" s="18" t="str">
        <x:v>A010010006 历史股票列表(京沪深A)</x:v>
      </x:c>
      <x:c r="F64" s="18" t="str">
        <x:v>A010010006 历史股票列表(京沪深A)</x:v>
      </x:c>
      <x:c r="G64" s="18" t="str">
        <x:v>按文档</x:v>
      </x:c>
      <x:c r="H64" s="18" t="str">
        <x:v>是</x:v>
      </x:c>
      <x:c r="I64" s="18" t="str">
        <x:v>低</x:v>
      </x:c>
      <x:c r="J64" s="18" t="str">
        <x:v>INVENTORIED</x:v>
      </x:c>
      <x:c r="K64" s="19" t="n">
        <x:f>IFERROR(VLOOKUP(J64,'状态字典'!$A$5:$B$16,2,FALSE),0)</x:f>
        <x:v>10</x:v>
      </x:c>
      <x:c r="L64" s="18" t="str"/>
      <x:c r="M64" s="18" t="str">
        <x:v>未执行</x:v>
      </x:c>
      <x:c r="N64" s="18" t="str">
        <x:v>待逐接口取证</x:v>
      </x:c>
      <x:c r="O64" s="18" t="str"/>
      <x:c r="P64" s="18" t="str">
        <x:v>待实现/复验</x:v>
      </x:c>
      <x:c r="Q64" s="18" t="str">
        <x:v>INVENTORIED</x:v>
      </x:c>
      <x:c r="R64" s="18" t="str">
        <x:v>一天窄窗；Linux oracle → wire → Mac → 同参</x:v>
      </x:c>
      <x:c r="S64" s="18" t="str">
        <x:v>日期区间</x:v>
      </x:c>
      <x:c r="T64" s="18" t="str">
        <x:v>代码列表</x:v>
      </x:c>
      <x:c r="U64" s="18" t="str">
        <x:v>同步/回调合约待逐项核对</x:v>
      </x:c>
      <x:c r="V64" s="18" t="str">
        <x:v>docs/PDF_API_INVENTORY.md</x:v>
      </x:c>
      <x:c r="W64" s="18" t="str">
        <x:v>一天窄窗</x:v>
      </x:c>
      <x:c r="X64" s="18" t="str">
        <x:v>—</x:v>
      </x:c>
      <x:c r="Y64" s="18" t="str"/>
    </x:row>
    <x:row r="65" ht="42" customHeight="1">
      <x:c r="A65" s="20" t="n">
        <x:v>61</x:v>
      </x:c>
      <x:c r="B65" s="18" t="str">
        <x:v>TGW C++ 开发手册</x:v>
      </x:c>
      <x:c r="C65" s="18" t="str">
        <x:v>105</x:v>
      </x:c>
      <x:c r="D65" s="18" t="str">
        <x:v>资讯-基础</x:v>
      </x:c>
      <x:c r="E65" s="18" t="str">
        <x:v>A010010007 历史列表(含期货期权指数)</x:v>
      </x:c>
      <x:c r="F65" s="18" t="str">
        <x:v>A010010007 历史列表(含期货期权指数)</x:v>
      </x:c>
      <x:c r="G65" s="18" t="str">
        <x:v>按文档</x:v>
      </x:c>
      <x:c r="H65" s="18" t="str">
        <x:v>是</x:v>
      </x:c>
      <x:c r="I65" s="18" t="str">
        <x:v>低</x:v>
      </x:c>
      <x:c r="J65" s="18" t="str">
        <x:v>INVENTORIED</x:v>
      </x:c>
      <x:c r="K65" s="19" t="n">
        <x:f>IFERROR(VLOOKUP(J65,'状态字典'!$A$5:$B$16,2,FALSE),0)</x:f>
        <x:v>10</x:v>
      </x:c>
      <x:c r="L65" s="18" t="str"/>
      <x:c r="M65" s="18" t="str">
        <x:v>未执行</x:v>
      </x:c>
      <x:c r="N65" s="18" t="str">
        <x:v>待逐接口取证</x:v>
      </x:c>
      <x:c r="O65" s="18" t="str"/>
      <x:c r="P65" s="18" t="str">
        <x:v>待实现/复验</x:v>
      </x:c>
      <x:c r="Q65" s="18" t="str">
        <x:v>INVENTORIED</x:v>
      </x:c>
      <x:c r="R65" s="18" t="str">
        <x:v>一天窄窗；Linux oracle → wire → Mac → 同参</x:v>
      </x:c>
      <x:c r="S65" s="18" t="str">
        <x:v>日期区间</x:v>
      </x:c>
      <x:c r="T65" s="18" t="str">
        <x:v>代码列表</x:v>
      </x:c>
      <x:c r="U65" s="18" t="str">
        <x:v>同步/回调合约待逐项核对</x:v>
      </x:c>
      <x:c r="V65" s="18" t="str">
        <x:v>docs/PDF_API_INVENTORY.md</x:v>
      </x:c>
      <x:c r="W65" s="18" t="str">
        <x:v>一天窄窗</x:v>
      </x:c>
      <x:c r="X65" s="18" t="str">
        <x:v>—</x:v>
      </x:c>
      <x:c r="Y65" s="18" t="str"/>
    </x:row>
    <x:row r="66" ht="42" customHeight="1">
      <x:c r="A66" s="20" t="n">
        <x:v>62</x:v>
      </x:c>
      <x:c r="B66" s="18" t="str">
        <x:v>TGW C++ 开发手册</x:v>
      </x:c>
      <x:c r="C66" s="18" t="str">
        <x:v>106–111</x:v>
      </x:c>
      <x:c r="D66" s="18" t="str">
        <x:v>资讯-发行</x:v>
      </x:c>
      <x:c r="E66" s="18" t="str">
        <x:v>A010020001 A股首次公开发行</x:v>
      </x:c>
      <x:c r="F66" s="18" t="str">
        <x:v>A010020001 A股首次公开发行</x:v>
      </x:c>
      <x:c r="G66" s="18" t="str">
        <x:v>按文档</x:v>
      </x:c>
      <x:c r="H66" s="18" t="str">
        <x:v>是</x:v>
      </x:c>
      <x:c r="I66" s="18" t="str">
        <x:v>低</x:v>
      </x:c>
      <x:c r="J66" s="18" t="str">
        <x:v>INVENTORIED</x:v>
      </x:c>
      <x:c r="K66" s="19" t="n">
        <x:f>IFERROR(VLOOKUP(J66,'状态字典'!$A$5:$B$16,2,FALSE),0)</x:f>
        <x:v>10</x:v>
      </x:c>
      <x:c r="L66" s="18" t="str"/>
      <x:c r="M66" s="18" t="str">
        <x:v>未执行</x:v>
      </x:c>
      <x:c r="N66" s="18" t="str">
        <x:v>待逐接口取证</x:v>
      </x:c>
      <x:c r="O66" s="18" t="str"/>
      <x:c r="P66" s="18" t="str">
        <x:v>待实现/复验</x:v>
      </x:c>
      <x:c r="Q66" s="18" t="str">
        <x:v>INVENTORIED</x:v>
      </x:c>
      <x:c r="R66" s="18" t="str">
        <x:v>单代码；Linux oracle → wire → Mac → 同参</x:v>
      </x:c>
      <x:c r="S66" s="18" t="str">
        <x:v>章节详列</x:v>
      </x:c>
      <x:c r="T66" s="18" t="str">
        <x:v>字段表</x:v>
      </x:c>
      <x:c r="U66" s="18" t="str">
        <x:v>同步/回调合约待逐项核对</x:v>
      </x:c>
      <x:c r="V66" s="18" t="str">
        <x:v>docs/PDF_API_INVENTORY.md</x:v>
      </x:c>
      <x:c r="W66" s="18" t="str">
        <x:v>单代码</x:v>
      </x:c>
      <x:c r="X66" s="18" t="str">
        <x:v>—</x:v>
      </x:c>
      <x:c r="Y66" s="18" t="str"/>
    </x:row>
    <x:row r="67" ht="42" customHeight="1">
      <x:c r="A67" s="20" t="n">
        <x:v>63</x:v>
      </x:c>
      <x:c r="B67" s="18" t="str">
        <x:v>TGW C++ 开发手册</x:v>
      </x:c>
      <x:c r="C67" s="18" t="str">
        <x:v>111–115</x:v>
      </x:c>
      <x:c r="D67" s="18" t="str">
        <x:v>资讯-发行</x:v>
      </x:c>
      <x:c r="E67" s="18" t="str">
        <x:v>A010020002 A股增发</x:v>
      </x:c>
      <x:c r="F67" s="18" t="str">
        <x:v>A010020002 A股增发</x:v>
      </x:c>
      <x:c r="G67" s="18" t="str">
        <x:v>按文档</x:v>
      </x:c>
      <x:c r="H67" s="18" t="str">
        <x:v>是</x:v>
      </x:c>
      <x:c r="I67" s="18" t="str">
        <x:v>低</x:v>
      </x:c>
      <x:c r="J67" s="18" t="str">
        <x:v>INVENTORIED</x:v>
      </x:c>
      <x:c r="K67" s="19" t="n">
        <x:f>IFERROR(VLOOKUP(J67,'状态字典'!$A$5:$B$16,2,FALSE),0)</x:f>
        <x:v>10</x:v>
      </x:c>
      <x:c r="L67" s="18" t="str"/>
      <x:c r="M67" s="18" t="str">
        <x:v>未执行</x:v>
      </x:c>
      <x:c r="N67" s="18" t="str">
        <x:v>待逐接口取证</x:v>
      </x:c>
      <x:c r="O67" s="18" t="str"/>
      <x:c r="P67" s="18" t="str">
        <x:v>待实现/复验</x:v>
      </x:c>
      <x:c r="Q67" s="18" t="str">
        <x:v>INVENTORIED</x:v>
      </x:c>
      <x:c r="R67" s="18" t="str">
        <x:v>单代码；Linux oracle → wire → Mac → 同参</x:v>
      </x:c>
      <x:c r="S67" s="18" t="str">
        <x:v>章节详列</x:v>
      </x:c>
      <x:c r="T67" s="18" t="str">
        <x:v>字段表</x:v>
      </x:c>
      <x:c r="U67" s="18" t="str">
        <x:v>同步/回调合约待逐项核对</x:v>
      </x:c>
      <x:c r="V67" s="18" t="str">
        <x:v>docs/PDF_API_INVENTORY.md</x:v>
      </x:c>
      <x:c r="W67" s="18" t="str">
        <x:v>单代码</x:v>
      </x:c>
      <x:c r="X67" s="18" t="str">
        <x:v>—</x:v>
      </x:c>
      <x:c r="Y67" s="18" t="str"/>
    </x:row>
    <x:row r="68" ht="42" customHeight="1">
      <x:c r="A68" s="20" t="n">
        <x:v>64</x:v>
      </x:c>
      <x:c r="B68" s="18" t="str">
        <x:v>TGW C++ 开发手册</x:v>
      </x:c>
      <x:c r="C68" s="18" t="str">
        <x:v>115–116</x:v>
      </x:c>
      <x:c r="D68" s="18" t="str">
        <x:v>资讯-分配</x:v>
      </x:c>
      <x:c r="E68" s="18" t="str">
        <x:v>A010030001 A股分红</x:v>
      </x:c>
      <x:c r="F68" s="18" t="str">
        <x:v>A010030001 A股分红</x:v>
      </x:c>
      <x:c r="G68" s="18" t="str">
        <x:v>按文档</x:v>
      </x:c>
      <x:c r="H68" s="18" t="str">
        <x:v>是</x:v>
      </x:c>
      <x:c r="I68" s="18" t="str">
        <x:v>低</x:v>
      </x:c>
      <x:c r="J68" s="18" t="str">
        <x:v>INVENTORIED</x:v>
      </x:c>
      <x:c r="K68" s="19" t="n">
        <x:f>IFERROR(VLOOKUP(J68,'状态字典'!$A$5:$B$16,2,FALSE),0)</x:f>
        <x:v>10</x:v>
      </x:c>
      <x:c r="L68" s="18" t="str"/>
      <x:c r="M68" s="18" t="str">
        <x:v>未执行</x:v>
      </x:c>
      <x:c r="N68" s="18" t="str">
        <x:v>待逐接口取证</x:v>
      </x:c>
      <x:c r="O68" s="18" t="str"/>
      <x:c r="P68" s="18" t="str">
        <x:v>待实现/复验</x:v>
      </x:c>
      <x:c r="Q68" s="18" t="str">
        <x:v>INVENTORIED</x:v>
      </x:c>
      <x:c r="R68" s="18" t="str">
        <x:v>单代码；Linux oracle → wire → Mac → 同参</x:v>
      </x:c>
      <x:c r="S68" s="18" t="str">
        <x:v>章节详列</x:v>
      </x:c>
      <x:c r="T68" s="18" t="str">
        <x:v>字段表</x:v>
      </x:c>
      <x:c r="U68" s="18" t="str">
        <x:v>同步/回调合约待逐项核对</x:v>
      </x:c>
      <x:c r="V68" s="18" t="str">
        <x:v>docs/PDF_API_INVENTORY.md</x:v>
      </x:c>
      <x:c r="W68" s="18" t="str">
        <x:v>单代码</x:v>
      </x:c>
      <x:c r="X68" s="18" t="str">
        <x:v>对应 AD get_dividend（推断）</x:v>
      </x:c>
      <x:c r="Y68" s="18" t="str"/>
    </x:row>
    <x:row r="69" ht="42" customHeight="1">
      <x:c r="A69" s="20" t="n">
        <x:v>65</x:v>
      </x:c>
      <x:c r="B69" s="18" t="str">
        <x:v>TGW C++ 开发手册</x:v>
      </x:c>
      <x:c r="C69" s="18" t="str">
        <x:v>117–120</x:v>
      </x:c>
      <x:c r="D69" s="18" t="str">
        <x:v>资讯-分配</x:v>
      </x:c>
      <x:c r="E69" s="18" t="str">
        <x:v>A010030002 A股配股</x:v>
      </x:c>
      <x:c r="F69" s="18" t="str">
        <x:v>A010030002 A股配股</x:v>
      </x:c>
      <x:c r="G69" s="18" t="str">
        <x:v>按文档</x:v>
      </x:c>
      <x:c r="H69" s="18" t="str">
        <x:v>是</x:v>
      </x:c>
      <x:c r="I69" s="18" t="str">
        <x:v>低</x:v>
      </x:c>
      <x:c r="J69" s="18" t="str">
        <x:v>INVENTORIED</x:v>
      </x:c>
      <x:c r="K69" s="19" t="n">
        <x:f>IFERROR(VLOOKUP(J69,'状态字典'!$A$5:$B$16,2,FALSE),0)</x:f>
        <x:v>10</x:v>
      </x:c>
      <x:c r="L69" s="18" t="str"/>
      <x:c r="M69" s="18" t="str">
        <x:v>未执行</x:v>
      </x:c>
      <x:c r="N69" s="18" t="str">
        <x:v>待逐接口取证</x:v>
      </x:c>
      <x:c r="O69" s="18" t="str"/>
      <x:c r="P69" s="18" t="str">
        <x:v>待实现/复验</x:v>
      </x:c>
      <x:c r="Q69" s="18" t="str">
        <x:v>INVENTORIED</x:v>
      </x:c>
      <x:c r="R69" s="18" t="str">
        <x:v>单代码；Linux oracle → wire → Mac → 同参</x:v>
      </x:c>
      <x:c r="S69" s="18" t="str">
        <x:v>章节详列</x:v>
      </x:c>
      <x:c r="T69" s="18" t="str">
        <x:v>字段表</x:v>
      </x:c>
      <x:c r="U69" s="18" t="str">
        <x:v>同步/回调合约待逐项核对</x:v>
      </x:c>
      <x:c r="V69" s="18" t="str">
        <x:v>docs/PDF_API_INVENTORY.md</x:v>
      </x:c>
      <x:c r="W69" s="18" t="str">
        <x:v>单代码</x:v>
      </x:c>
      <x:c r="X69" s="18" t="str">
        <x:v>对应 AD get_right_issue（推断）</x:v>
      </x:c>
      <x:c r="Y69" s="18" t="str"/>
    </x:row>
    <x:row r="70" ht="42" customHeight="1">
      <x:c r="A70" s="20" t="n">
        <x:v>66</x:v>
      </x:c>
      <x:c r="B70" s="18" t="str">
        <x:v>TGW C++ 开发手册</x:v>
      </x:c>
      <x:c r="C70" s="18" t="str">
        <x:v>120–121</x:v>
      </x:c>
      <x:c r="D70" s="18" t="str">
        <x:v>资讯-分配</x:v>
      </x:c>
      <x:c r="E70" s="18" t="str">
        <x:v>A010030003 除权除息</x:v>
      </x:c>
      <x:c r="F70" s="18" t="str">
        <x:v>A010030003 除权除息</x:v>
      </x:c>
      <x:c r="G70" s="18" t="str">
        <x:v>按文档</x:v>
      </x:c>
      <x:c r="H70" s="18" t="str">
        <x:v>是</x:v>
      </x:c>
      <x:c r="I70" s="18" t="str">
        <x:v>低</x:v>
      </x:c>
      <x:c r="J70" s="18" t="str">
        <x:v>INVENTORIED</x:v>
      </x:c>
      <x:c r="K70" s="19" t="n">
        <x:f>IFERROR(VLOOKUP(J70,'状态字典'!$A$5:$B$16,2,FALSE),0)</x:f>
        <x:v>10</x:v>
      </x:c>
      <x:c r="L70" s="18" t="str"/>
      <x:c r="M70" s="18" t="str">
        <x:v>未执行</x:v>
      </x:c>
      <x:c r="N70" s="18" t="str">
        <x:v>待逐接口取证</x:v>
      </x:c>
      <x:c r="O70" s="18" t="str"/>
      <x:c r="P70" s="18" t="str">
        <x:v>待实现/复验</x:v>
      </x:c>
      <x:c r="Q70" s="18" t="str">
        <x:v>INVENTORIED</x:v>
      </x:c>
      <x:c r="R70" s="18" t="str">
        <x:v>单代码单日；Linux oracle → wire → Mac → 同参</x:v>
      </x:c>
      <x:c r="S70" s="18" t="str">
        <x:v>章节详列</x:v>
      </x:c>
      <x:c r="T70" s="18" t="str">
        <x:v>字段表</x:v>
      </x:c>
      <x:c r="U70" s="18" t="str">
        <x:v>同步/回调合约待逐项核对</x:v>
      </x:c>
      <x:c r="V70" s="18" t="str">
        <x:v>docs/PDF_API_INVENTORY.md</x:v>
      </x:c>
      <x:c r="W70" s="18" t="str">
        <x:v>单代码单日</x:v>
      </x:c>
      <x:c r="X70" s="18" t="str">
        <x:v>—</x:v>
      </x:c>
      <x:c r="Y70" s="18" t="str"/>
    </x:row>
    <x:row r="71" ht="42" customHeight="1">
      <x:c r="A71" s="20" t="n">
        <x:v>67</x:v>
      </x:c>
      <x:c r="B71" s="18" t="str">
        <x:v>TGW C++ 开发手册</x:v>
      </x:c>
      <x:c r="C71" s="18" t="str">
        <x:v>121–123</x:v>
      </x:c>
      <x:c r="D71" s="18" t="str">
        <x:v>资讯-分配</x:v>
      </x:c>
      <x:c r="E71" s="18" t="str">
        <x:v>A010030004 复权因子表</x:v>
      </x:c>
      <x:c r="F71" s="18" t="str">
        <x:v>A010030004 复权因子表</x:v>
      </x:c>
      <x:c r="G71" s="18" t="str">
        <x:v>按文档</x:v>
      </x:c>
      <x:c r="H71" s="18" t="str">
        <x:v>是</x:v>
      </x:c>
      <x:c r="I71" s="18" t="str">
        <x:v>低</x:v>
      </x:c>
      <x:c r="J71" s="18" t="str">
        <x:v>INVENTORIED</x:v>
      </x:c>
      <x:c r="K71" s="19" t="n">
        <x:f>IFERROR(VLOOKUP(J71,'状态字典'!$A$5:$B$16,2,FALSE),0)</x:f>
        <x:v>10</x:v>
      </x:c>
      <x:c r="L71" s="18" t="str"/>
      <x:c r="M71" s="18" t="str">
        <x:v>未执行</x:v>
      </x:c>
      <x:c r="N71" s="18" t="str">
        <x:v>待逐接口取证</x:v>
      </x:c>
      <x:c r="O71" s="18" t="str"/>
      <x:c r="P71" s="18" t="str">
        <x:v>待实现/复验</x:v>
      </x:c>
      <x:c r="Q71" s="18" t="str">
        <x:v>INVENTORIED</x:v>
      </x:c>
      <x:c r="R71" s="18" t="str">
        <x:v>单代码；Linux oracle → wire → Mac → 同参</x:v>
      </x:c>
      <x:c r="S71" s="18" t="str">
        <x:v>章节详列</x:v>
      </x:c>
      <x:c r="T71" s="18" t="str">
        <x:v>字段表</x:v>
      </x:c>
      <x:c r="U71" s="18" t="str">
        <x:v>同步/回调合约待逐项核对</x:v>
      </x:c>
      <x:c r="V71" s="18" t="str">
        <x:v>docs/PDF_API_INVENTORY.md</x:v>
      </x:c>
      <x:c r="W71" s="18" t="str">
        <x:v>单代码</x:v>
      </x:c>
      <x:c r="X71" s="18" t="str">
        <x:v>与 TGW 查询接口 #39 语义重叠，来源通道不同</x:v>
      </x:c>
      <x:c r="Y71" s="18" t="str"/>
    </x:row>
    <x:row r="72" ht="42" customHeight="1">
      <x:c r="A72" s="20" t="n">
        <x:v>68</x:v>
      </x:c>
      <x:c r="B72" s="18" t="str">
        <x:v>TGW C++ 开发手册</x:v>
      </x:c>
      <x:c r="C72" s="18" t="str">
        <x:v>123–124</x:v>
      </x:c>
      <x:c r="D72" s="18" t="str">
        <x:v>资讯-股本股东</x:v>
      </x:c>
      <x:c r="E72" s="18" t="str">
        <x:v>A010040001 十大股东</x:v>
      </x:c>
      <x:c r="F72" s="18" t="str">
        <x:v>A010040001 十大股东</x:v>
      </x:c>
      <x:c r="G72" s="18" t="str">
        <x:v>按文档</x:v>
      </x:c>
      <x:c r="H72" s="18" t="str">
        <x:v>是</x:v>
      </x:c>
      <x:c r="I72" s="18" t="str">
        <x:v>低</x:v>
      </x:c>
      <x:c r="J72" s="18" t="str">
        <x:v>INVENTORIED</x:v>
      </x:c>
      <x:c r="K72" s="19" t="n">
        <x:f>IFERROR(VLOOKUP(J72,'状态字典'!$A$5:$B$16,2,FALSE),0)</x:f>
        <x:v>10</x:v>
      </x:c>
      <x:c r="L72" s="18" t="str"/>
      <x:c r="M72" s="18" t="str">
        <x:v>未执行</x:v>
      </x:c>
      <x:c r="N72" s="18" t="str">
        <x:v>待逐接口取证</x:v>
      </x:c>
      <x:c r="O72" s="18" t="str"/>
      <x:c r="P72" s="18" t="str">
        <x:v>待实现/复验</x:v>
      </x:c>
      <x:c r="Q72" s="18" t="str">
        <x:v>INVENTORIED</x:v>
      </x:c>
      <x:c r="R72" s="18" t="str">
        <x:v>单代码；Linux oracle → wire → Mac → 同参</x:v>
      </x:c>
      <x:c r="S72" s="18" t="str">
        <x:v>章节详列</x:v>
      </x:c>
      <x:c r="T72" s="18" t="str">
        <x:v>字段表</x:v>
      </x:c>
      <x:c r="U72" s="18" t="str">
        <x:v>同步/回调合约待逐项核对</x:v>
      </x:c>
      <x:c r="V72" s="18" t="str">
        <x:v>docs/PDF_API_INVENTORY.md</x:v>
      </x:c>
      <x:c r="W72" s="18" t="str">
        <x:v>单代码</x:v>
      </x:c>
      <x:c r="X72" s="18" t="str">
        <x:v>对应 AD get_share_holder（推断）</x:v>
      </x:c>
      <x:c r="Y72" s="18" t="str"/>
    </x:row>
    <x:row r="73" ht="42" customHeight="1">
      <x:c r="A73" s="20" t="n">
        <x:v>69</x:v>
      </x:c>
      <x:c r="B73" s="18" t="str">
        <x:v>TGW C++ 开发手册</x:v>
      </x:c>
      <x:c r="C73" s="18" t="str">
        <x:v>124–125</x:v>
      </x:c>
      <x:c r="D73" s="18" t="str">
        <x:v>资讯-股本股东</x:v>
      </x:c>
      <x:c r="E73" s="18" t="str">
        <x:v>A010040002 限售解禁明细</x:v>
      </x:c>
      <x:c r="F73" s="18" t="str">
        <x:v>A010040002 限售解禁明细</x:v>
      </x:c>
      <x:c r="G73" s="18" t="str">
        <x:v>按文档</x:v>
      </x:c>
      <x:c r="H73" s="18" t="str">
        <x:v>是</x:v>
      </x:c>
      <x:c r="I73" s="18" t="str">
        <x:v>低</x:v>
      </x:c>
      <x:c r="J73" s="18" t="str">
        <x:v>INVENTORIED</x:v>
      </x:c>
      <x:c r="K73" s="19" t="n">
        <x:f>IFERROR(VLOOKUP(J73,'状态字典'!$A$5:$B$16,2,FALSE),0)</x:f>
        <x:v>10</x:v>
      </x:c>
      <x:c r="L73" s="18" t="str"/>
      <x:c r="M73" s="18" t="str">
        <x:v>未执行</x:v>
      </x:c>
      <x:c r="N73" s="18" t="str">
        <x:v>待逐接口取证</x:v>
      </x:c>
      <x:c r="O73" s="18" t="str"/>
      <x:c r="P73" s="18" t="str">
        <x:v>待实现/复验</x:v>
      </x:c>
      <x:c r="Q73" s="18" t="str">
        <x:v>INVENTORIED</x:v>
      </x:c>
      <x:c r="R73" s="18" t="str">
        <x:v>单代码；Linux oracle → wire → Mac → 同参</x:v>
      </x:c>
      <x:c r="S73" s="18" t="str">
        <x:v>章节详列</x:v>
      </x:c>
      <x:c r="T73" s="18" t="str">
        <x:v>字段表</x:v>
      </x:c>
      <x:c r="U73" s="18" t="str">
        <x:v>同步/回调合约待逐项核对</x:v>
      </x:c>
      <x:c r="V73" s="18" t="str">
        <x:v>docs/PDF_API_INVENTORY.md</x:v>
      </x:c>
      <x:c r="W73" s="18" t="str">
        <x:v>单代码</x:v>
      </x:c>
      <x:c r="X73" s="18" t="str">
        <x:v>—</x:v>
      </x:c>
      <x:c r="Y73" s="18" t="str"/>
    </x:row>
    <x:row r="74" ht="42" customHeight="1">
      <x:c r="A74" s="20" t="n">
        <x:v>70</x:v>
      </x:c>
      <x:c r="B74" s="18" t="str">
        <x:v>TGW C++ 开发手册</x:v>
      </x:c>
      <x:c r="C74" s="18" t="str">
        <x:v>125–126</x:v>
      </x:c>
      <x:c r="D74" s="18" t="str">
        <x:v>资讯-股本股东</x:v>
      </x:c>
      <x:c r="E74" s="18" t="str">
        <x:v>A010040003 解禁数据</x:v>
      </x:c>
      <x:c r="F74" s="18" t="str">
        <x:v>A010040003 解禁数据</x:v>
      </x:c>
      <x:c r="G74" s="18" t="str">
        <x:v>按文档</x:v>
      </x:c>
      <x:c r="H74" s="18" t="str">
        <x:v>是</x:v>
      </x:c>
      <x:c r="I74" s="18" t="str">
        <x:v>低</x:v>
      </x:c>
      <x:c r="J74" s="18" t="str">
        <x:v>INVENTORIED</x:v>
      </x:c>
      <x:c r="K74" s="19" t="n">
        <x:f>IFERROR(VLOOKUP(J74,'状态字典'!$A$5:$B$16,2,FALSE),0)</x:f>
        <x:v>10</x:v>
      </x:c>
      <x:c r="L74" s="18" t="str"/>
      <x:c r="M74" s="18" t="str">
        <x:v>未执行</x:v>
      </x:c>
      <x:c r="N74" s="18" t="str">
        <x:v>待逐接口取证</x:v>
      </x:c>
      <x:c r="O74" s="18" t="str"/>
      <x:c r="P74" s="18" t="str">
        <x:v>待实现/复验</x:v>
      </x:c>
      <x:c r="Q74" s="18" t="str">
        <x:v>INVENTORIED</x:v>
      </x:c>
      <x:c r="R74" s="18" t="str">
        <x:v>单代码；Linux oracle → wire → Mac → 同参</x:v>
      </x:c>
      <x:c r="S74" s="18" t="str">
        <x:v>章节详列</x:v>
      </x:c>
      <x:c r="T74" s="18" t="str">
        <x:v>字段表</x:v>
      </x:c>
      <x:c r="U74" s="18" t="str">
        <x:v>同步/回调合约待逐项核对</x:v>
      </x:c>
      <x:c r="V74" s="18" t="str">
        <x:v>docs/PDF_API_INVENTORY.md</x:v>
      </x:c>
      <x:c r="W74" s="18" t="str">
        <x:v>单代码</x:v>
      </x:c>
      <x:c r="X74" s="18" t="str">
        <x:v>—</x:v>
      </x:c>
      <x:c r="Y74" s="18" t="str"/>
    </x:row>
    <x:row r="75" ht="42" customHeight="1">
      <x:c r="A75" s="20" t="n">
        <x:v>71</x:v>
      </x:c>
      <x:c r="B75" s="18" t="str">
        <x:v>TGW C++ 开发手册</x:v>
      </x:c>
      <x:c r="C75" s="18" t="str">
        <x:v>126–128</x:v>
      </x:c>
      <x:c r="D75" s="18" t="str">
        <x:v>资讯-股本股东</x:v>
      </x:c>
      <x:c r="E75" s="18" t="str">
        <x:v>A010040004 股权冻结/质押</x:v>
      </x:c>
      <x:c r="F75" s="18" t="str">
        <x:v>A010040004 股权冻结/质押</x:v>
      </x:c>
      <x:c r="G75" s="18" t="str">
        <x:v>按文档</x:v>
      </x:c>
      <x:c r="H75" s="18" t="str">
        <x:v>是</x:v>
      </x:c>
      <x:c r="I75" s="18" t="str">
        <x:v>低</x:v>
      </x:c>
      <x:c r="J75" s="18" t="str">
        <x:v>INVENTORIED</x:v>
      </x:c>
      <x:c r="K75" s="19" t="n">
        <x:f>IFERROR(VLOOKUP(J75,'状态字典'!$A$5:$B$16,2,FALSE),0)</x:f>
        <x:v>10</x:v>
      </x:c>
      <x:c r="L75" s="18" t="str"/>
      <x:c r="M75" s="18" t="str">
        <x:v>未执行</x:v>
      </x:c>
      <x:c r="N75" s="18" t="str">
        <x:v>待逐接口取证</x:v>
      </x:c>
      <x:c r="O75" s="18" t="str"/>
      <x:c r="P75" s="18" t="str">
        <x:v>待实现/复验</x:v>
      </x:c>
      <x:c r="Q75" s="18" t="str">
        <x:v>INVENTORIED</x:v>
      </x:c>
      <x:c r="R75" s="18" t="str">
        <x:v>单代码；Linux oracle → wire → Mac → 同参</x:v>
      </x:c>
      <x:c r="S75" s="18" t="str">
        <x:v>章节详列</x:v>
      </x:c>
      <x:c r="T75" s="18" t="str">
        <x:v>字段表</x:v>
      </x:c>
      <x:c r="U75" s="18" t="str">
        <x:v>同步/回调合约待逐项核对</x:v>
      </x:c>
      <x:c r="V75" s="18" t="str">
        <x:v>docs/PDF_API_INVENTORY.md</x:v>
      </x:c>
      <x:c r="W75" s="18" t="str">
        <x:v>单代码</x:v>
      </x:c>
      <x:c r="X75" s="18" t="str">
        <x:v>对应 AD get_equity_pledge_freeze（推断）</x:v>
      </x:c>
      <x:c r="Y75" s="18" t="str"/>
    </x:row>
    <x:row r="76" ht="42" customHeight="1">
      <x:c r="A76" s="20" t="n">
        <x:v>72</x:v>
      </x:c>
      <x:c r="B76" s="18" t="str">
        <x:v>TGW C++ 开发手册</x:v>
      </x:c>
      <x:c r="C76" s="18" t="str">
        <x:v>128–137</x:v>
      </x:c>
      <x:c r="D76" s="18" t="str">
        <x:v>资讯-财务</x:v>
      </x:c>
      <x:c r="E76" s="18" t="str">
        <x:v>A010050001 资产负债表</x:v>
      </x:c>
      <x:c r="F76" s="18" t="str">
        <x:v>A010050001 资产负债表</x:v>
      </x:c>
      <x:c r="G76" s="18" t="str">
        <x:v>按文档</x:v>
      </x:c>
      <x:c r="H76" s="18" t="str">
        <x:v>是</x:v>
      </x:c>
      <x:c r="I76" s="18" t="str">
        <x:v>低</x:v>
      </x:c>
      <x:c r="J76" s="18" t="str">
        <x:v>INVENTORIED</x:v>
      </x:c>
      <x:c r="K76" s="19" t="n">
        <x:f>IFERROR(VLOOKUP(J76,'状态字典'!$A$5:$B$16,2,FALSE),0)</x:f>
        <x:v>10</x:v>
      </x:c>
      <x:c r="L76" s="18" t="str"/>
      <x:c r="M76" s="18" t="str">
        <x:v>未执行</x:v>
      </x:c>
      <x:c r="N76" s="18" t="str">
        <x:v>待逐接口取证</x:v>
      </x:c>
      <x:c r="O76" s="18" t="str"/>
      <x:c r="P76" s="18" t="str">
        <x:v>待实现/复验</x:v>
      </x:c>
      <x:c r="Q76" s="18" t="str">
        <x:v>INVENTORIED</x:v>
      </x:c>
      <x:c r="R76" s="18" t="str">
        <x:v>单代码单报告期；Linux oracle → wire → Mac → 同参</x:v>
      </x:c>
      <x:c r="S76" s="18" t="str">
        <x:v>章节详列</x:v>
      </x:c>
      <x:c r="T76" s="18" t="str">
        <x:v>大宽表</x:v>
      </x:c>
      <x:c r="U76" s="18" t="str">
        <x:v>同步/回调合约待逐项核对</x:v>
      </x:c>
      <x:c r="V76" s="18" t="str">
        <x:v>docs/PDF_API_INVENTORY.md</x:v>
      </x:c>
      <x:c r="W76" s="18" t="str">
        <x:v>单代码单报告期</x:v>
      </x:c>
      <x:c r="X76" s="18" t="str">
        <x:v>列数极大，建议只取 shape 摘要；对应 AD get_balance_sheet（推断）</x:v>
      </x:c>
      <x:c r="Y76" s="18" t="str"/>
    </x:row>
    <x:row r="77" ht="42" customHeight="1">
      <x:c r="A77" s="20" t="n">
        <x:v>73</x:v>
      </x:c>
      <x:c r="B77" s="18" t="str">
        <x:v>TGW C++ 开发手册</x:v>
      </x:c>
      <x:c r="C77" s="18" t="str">
        <x:v>137–144</x:v>
      </x:c>
      <x:c r="D77" s="18" t="str">
        <x:v>资讯-财务</x:v>
      </x:c>
      <x:c r="E77" s="18" t="str">
        <x:v>A010050002 利润表</x:v>
      </x:c>
      <x:c r="F77" s="18" t="str">
        <x:v>A010050002 利润表</x:v>
      </x:c>
      <x:c r="G77" s="18" t="str">
        <x:v>按文档</x:v>
      </x:c>
      <x:c r="H77" s="18" t="str">
        <x:v>是</x:v>
      </x:c>
      <x:c r="I77" s="18" t="str">
        <x:v>低</x:v>
      </x:c>
      <x:c r="J77" s="18" t="str">
        <x:v>INVENTORIED</x:v>
      </x:c>
      <x:c r="K77" s="19" t="n">
        <x:f>IFERROR(VLOOKUP(J77,'状态字典'!$A$5:$B$16,2,FALSE),0)</x:f>
        <x:v>10</x:v>
      </x:c>
      <x:c r="L77" s="18" t="str"/>
      <x:c r="M77" s="18" t="str">
        <x:v>未执行</x:v>
      </x:c>
      <x:c r="N77" s="18" t="str">
        <x:v>待逐接口取证</x:v>
      </x:c>
      <x:c r="O77" s="18" t="str"/>
      <x:c r="P77" s="18" t="str">
        <x:v>待实现/复验</x:v>
      </x:c>
      <x:c r="Q77" s="18" t="str">
        <x:v>INVENTORIED</x:v>
      </x:c>
      <x:c r="R77" s="18" t="str">
        <x:v>同上；Linux oracle → wire → Mac → 同参</x:v>
      </x:c>
      <x:c r="S77" s="18" t="str">
        <x:v>章节详列</x:v>
      </x:c>
      <x:c r="T77" s="18" t="str">
        <x:v>大宽表</x:v>
      </x:c>
      <x:c r="U77" s="18" t="str">
        <x:v>同步/回调合约待逐项核对</x:v>
      </x:c>
      <x:c r="V77" s="18" t="str">
        <x:v>docs/PDF_API_INVENTORY.md</x:v>
      </x:c>
      <x:c r="W77" s="18" t="str">
        <x:v>同上</x:v>
      </x:c>
      <x:c r="X77" s="18" t="str">
        <x:v>对应 AD get_income（推断）</x:v>
      </x:c>
      <x:c r="Y77" s="18" t="str"/>
    </x:row>
    <x:row r="78" ht="42" customHeight="1">
      <x:c r="A78" s="20" t="n">
        <x:v>74</x:v>
      </x:c>
      <x:c r="B78" s="18" t="str">
        <x:v>TGW C++ 开发手册</x:v>
      </x:c>
      <x:c r="C78" s="18" t="str">
        <x:v>144–152</x:v>
      </x:c>
      <x:c r="D78" s="18" t="str">
        <x:v>资讯-财务</x:v>
      </x:c>
      <x:c r="E78" s="18" t="str">
        <x:v>A010050003 现金流量表</x:v>
      </x:c>
      <x:c r="F78" s="18" t="str">
        <x:v>A010050003 现金流量表</x:v>
      </x:c>
      <x:c r="G78" s="18" t="str">
        <x:v>按文档</x:v>
      </x:c>
      <x:c r="H78" s="18" t="str">
        <x:v>是</x:v>
      </x:c>
      <x:c r="I78" s="18" t="str">
        <x:v>低</x:v>
      </x:c>
      <x:c r="J78" s="18" t="str">
        <x:v>INVENTORIED</x:v>
      </x:c>
      <x:c r="K78" s="19" t="n">
        <x:f>IFERROR(VLOOKUP(J78,'状态字典'!$A$5:$B$16,2,FALSE),0)</x:f>
        <x:v>10</x:v>
      </x:c>
      <x:c r="L78" s="18" t="str"/>
      <x:c r="M78" s="18" t="str">
        <x:v>未执行</x:v>
      </x:c>
      <x:c r="N78" s="18" t="str">
        <x:v>待逐接口取证</x:v>
      </x:c>
      <x:c r="O78" s="18" t="str"/>
      <x:c r="P78" s="18" t="str">
        <x:v>待实现/复验</x:v>
      </x:c>
      <x:c r="Q78" s="18" t="str">
        <x:v>INVENTORIED</x:v>
      </x:c>
      <x:c r="R78" s="18" t="str">
        <x:v>同上；Linux oracle → wire → Mac → 同参</x:v>
      </x:c>
      <x:c r="S78" s="18" t="str">
        <x:v>章节详列</x:v>
      </x:c>
      <x:c r="T78" s="18" t="str">
        <x:v>大宽表</x:v>
      </x:c>
      <x:c r="U78" s="18" t="str">
        <x:v>同步/回调合约待逐项核对</x:v>
      </x:c>
      <x:c r="V78" s="18" t="str">
        <x:v>docs/PDF_API_INVENTORY.md</x:v>
      </x:c>
      <x:c r="W78" s="18" t="str">
        <x:v>同上</x:v>
      </x:c>
      <x:c r="X78" s="18" t="str">
        <x:v>对应 AD get_cash_flow（推断）</x:v>
      </x:c>
      <x:c r="Y78" s="18" t="str"/>
    </x:row>
    <x:row r="79" ht="42" customHeight="1">
      <x:c r="A79" s="20" t="n">
        <x:v>75</x:v>
      </x:c>
      <x:c r="B79" s="18" t="str">
        <x:v>TGW C++ 开发手册</x:v>
      </x:c>
      <x:c r="C79" s="18" t="str">
        <x:v>152–162</x:v>
      </x:c>
      <x:c r="D79" s="18" t="str">
        <x:v>资讯-财务</x:v>
      </x:c>
      <x:c r="E79" s="18" t="str">
        <x:v>A010050004 财务指标</x:v>
      </x:c>
      <x:c r="F79" s="18" t="str">
        <x:v>A010050004 财务指标</x:v>
      </x:c>
      <x:c r="G79" s="18" t="str">
        <x:v>按文档</x:v>
      </x:c>
      <x:c r="H79" s="18" t="str">
        <x:v>是</x:v>
      </x:c>
      <x:c r="I79" s="18" t="str">
        <x:v>低</x:v>
      </x:c>
      <x:c r="J79" s="18" t="str">
        <x:v>INVENTORIED</x:v>
      </x:c>
      <x:c r="K79" s="19" t="n">
        <x:f>IFERROR(VLOOKUP(J79,'状态字典'!$A$5:$B$16,2,FALSE),0)</x:f>
        <x:v>10</x:v>
      </x:c>
      <x:c r="L79" s="18" t="str"/>
      <x:c r="M79" s="18" t="str">
        <x:v>未执行</x:v>
      </x:c>
      <x:c r="N79" s="18" t="str">
        <x:v>待逐接口取证</x:v>
      </x:c>
      <x:c r="O79" s="18" t="str"/>
      <x:c r="P79" s="18" t="str">
        <x:v>待实现/复验</x:v>
      </x:c>
      <x:c r="Q79" s="18" t="str">
        <x:v>INVENTORIED</x:v>
      </x:c>
      <x:c r="R79" s="18" t="str">
        <x:v>单代码单报告期；Linux oracle → wire → Mac → 同参</x:v>
      </x:c>
      <x:c r="S79" s="18" t="str">
        <x:v>章节详列</x:v>
      </x:c>
      <x:c r="T79" s="18" t="str">
        <x:v>字段表</x:v>
      </x:c>
      <x:c r="U79" s="18" t="str">
        <x:v>同步/回调合约待逐项核对</x:v>
      </x:c>
      <x:c r="V79" s="18" t="str">
        <x:v>docs/PDF_API_INVENTORY.md</x:v>
      </x:c>
      <x:c r="W79" s="18" t="str">
        <x:v>单代码单报告期</x:v>
      </x:c>
      <x:c r="X79" s="18" t="str">
        <x:v>—</x:v>
      </x:c>
      <x:c r="Y79" s="18" t="str"/>
    </x:row>
    <x:row r="80" ht="42" customHeight="1">
      <x:c r="A80" s="20" t="n">
        <x:v>76</x:v>
      </x:c>
      <x:c r="B80" s="18" t="str">
        <x:v>TGW C++ 开发手册</x:v>
      </x:c>
      <x:c r="C80" s="18" t="str">
        <x:v>162–164</x:v>
      </x:c>
      <x:c r="D80" s="18" t="str">
        <x:v>资讯-财务</x:v>
      </x:c>
      <x:c r="E80" s="18" t="str">
        <x:v>A010050005 业绩预告</x:v>
      </x:c>
      <x:c r="F80" s="18" t="str">
        <x:v>A010050005 业绩预告</x:v>
      </x:c>
      <x:c r="G80" s="18" t="str">
        <x:v>按文档</x:v>
      </x:c>
      <x:c r="H80" s="18" t="str">
        <x:v>是</x:v>
      </x:c>
      <x:c r="I80" s="18" t="str">
        <x:v>低</x:v>
      </x:c>
      <x:c r="J80" s="18" t="str">
        <x:v>INVENTORIED</x:v>
      </x:c>
      <x:c r="K80" s="19" t="n">
        <x:f>IFERROR(VLOOKUP(J80,'状态字典'!$A$5:$B$16,2,FALSE),0)</x:f>
        <x:v>10</x:v>
      </x:c>
      <x:c r="L80" s="18" t="str"/>
      <x:c r="M80" s="18" t="str">
        <x:v>未执行</x:v>
      </x:c>
      <x:c r="N80" s="18" t="str">
        <x:v>待逐接口取证</x:v>
      </x:c>
      <x:c r="O80" s="18" t="str"/>
      <x:c r="P80" s="18" t="str">
        <x:v>待实现/复验</x:v>
      </x:c>
      <x:c r="Q80" s="18" t="str">
        <x:v>INVENTORIED</x:v>
      </x:c>
      <x:c r="R80" s="18" t="str">
        <x:v>单代码；Linux oracle → wire → Mac → 同参</x:v>
      </x:c>
      <x:c r="S80" s="18" t="str">
        <x:v>章节详列</x:v>
      </x:c>
      <x:c r="T80" s="18" t="str">
        <x:v>字段表</x:v>
      </x:c>
      <x:c r="U80" s="18" t="str">
        <x:v>同步/回调合约待逐项核对</x:v>
      </x:c>
      <x:c r="V80" s="18" t="str">
        <x:v>docs/PDF_API_INVENTORY.md</x:v>
      </x:c>
      <x:c r="W80" s="18" t="str">
        <x:v>单代码</x:v>
      </x:c>
      <x:c r="X80" s="18" t="str">
        <x:v>对应 AD get_profit_notice（推断）</x:v>
      </x:c>
      <x:c r="Y80" s="18" t="str"/>
    </x:row>
    <x:row r="81" ht="42" customHeight="1">
      <x:c r="A81" s="20" t="n">
        <x:v>77</x:v>
      </x:c>
      <x:c r="B81" s="18" t="str">
        <x:v>TGW C++ 开发手册</x:v>
      </x:c>
      <x:c r="C81" s="18" t="str">
        <x:v>164–172</x:v>
      </x:c>
      <x:c r="D81" s="18" t="str">
        <x:v>资讯-财务</x:v>
      </x:c>
      <x:c r="E81" s="18" t="str">
        <x:v>A010050006 财务衍生指标</x:v>
      </x:c>
      <x:c r="F81" s="18" t="str">
        <x:v>A010050006 财务衍生指标</x:v>
      </x:c>
      <x:c r="G81" s="18" t="str">
        <x:v>按文档</x:v>
      </x:c>
      <x:c r="H81" s="18" t="str">
        <x:v>是</x:v>
      </x:c>
      <x:c r="I81" s="18" t="str">
        <x:v>低</x:v>
      </x:c>
      <x:c r="J81" s="18" t="str">
        <x:v>INVENTORIED</x:v>
      </x:c>
      <x:c r="K81" s="19" t="n">
        <x:f>IFERROR(VLOOKUP(J81,'状态字典'!$A$5:$B$16,2,FALSE),0)</x:f>
        <x:v>10</x:v>
      </x:c>
      <x:c r="L81" s="18" t="str"/>
      <x:c r="M81" s="18" t="str">
        <x:v>未执行</x:v>
      </x:c>
      <x:c r="N81" s="18" t="str">
        <x:v>待逐接口取证</x:v>
      </x:c>
      <x:c r="O81" s="18" t="str"/>
      <x:c r="P81" s="18" t="str">
        <x:v>待实现/复验</x:v>
      </x:c>
      <x:c r="Q81" s="18" t="str">
        <x:v>INVENTORIED</x:v>
      </x:c>
      <x:c r="R81" s="18" t="str">
        <x:v>单代码；Linux oracle → wire → Mac → 同参</x:v>
      </x:c>
      <x:c r="S81" s="18" t="str">
        <x:v>章节详列</x:v>
      </x:c>
      <x:c r="T81" s="18" t="str">
        <x:v>字段表</x:v>
      </x:c>
      <x:c r="U81" s="18" t="str">
        <x:v>同步/回调合约待逐项核对</x:v>
      </x:c>
      <x:c r="V81" s="18" t="str">
        <x:v>docs/PDF_API_INVENTORY.md</x:v>
      </x:c>
      <x:c r="W81" s="18" t="str">
        <x:v>单代码</x:v>
      </x:c>
      <x:c r="X81" s="18" t="str">
        <x:v>—</x:v>
      </x:c>
      <x:c r="Y81" s="18" t="str"/>
    </x:row>
    <x:row r="82" ht="42" customHeight="1">
      <x:c r="A82" s="20" t="n">
        <x:v>78</x:v>
      </x:c>
      <x:c r="B82" s="18" t="str">
        <x:v>TGW C++ 开发手册</x:v>
      </x:c>
      <x:c r="C82" s="18" t="str">
        <x:v>172–173</x:v>
      </x:c>
      <x:c r="D82" s="18" t="str">
        <x:v>资讯-交易日历</x:v>
      </x:c>
      <x:c r="E82" s="18" t="str">
        <x:v>A010060001 交易日历(京沪深A)</x:v>
      </x:c>
      <x:c r="F82" s="18" t="str">
        <x:v>A010060001 交易日历(京沪深A)</x:v>
      </x:c>
      <x:c r="G82" s="18" t="str">
        <x:v>按文档</x:v>
      </x:c>
      <x:c r="H82" s="18" t="str">
        <x:v>是</x:v>
      </x:c>
      <x:c r="I82" s="18" t="str">
        <x:v>低</x:v>
      </x:c>
      <x:c r="J82" s="18" t="str">
        <x:v>LIVE_ALIGNED</x:v>
      </x:c>
      <x:c r="K82" s="19" t="n">
        <x:f>IFERROR(VLOOKUP(J82,'状态字典'!$A$5:$B$16,2,FALSE),0)</x:f>
        <x:v>85</x:v>
      </x:c>
      <x:c r="L82" s="18" t="str">
        <x:v>2026-08-26</x:v>
      </x:c>
      <x:c r="M82" s="18" t="str">
        <x:v>已有脱敏证据；严格限于状态所述子范围</x:v>
      </x:c>
      <x:c r="N82" s="18" t="str">
        <x:v>待逐接口取证</x:v>
      </x:c>
      <x:c r="O82" s="18" t="str">
        <x:v>2026-08-26</x:v>
      </x:c>
      <x:c r="P82" s="18" t="str">
        <x:v>已有 Mac 子范围证据</x:v>
      </x:c>
      <x:c r="Q82" s="18" t="str">
        <x:v>相邻子范围 LIVE_ALIGNED(calendar function only)（实测用 A010061003）</x:v>
      </x:c>
      <x:c r="R82" s="18" t="str">
        <x:v>已有 SSE 区间；Linux oracle → wire → Mac → 同参</x:v>
      </x:c>
      <x:c r="S82" s="18" t="str">
        <x:v>start_date,end_date(≤30天)</x:v>
      </x:c>
      <x:c r="T82" s="18" t="str">
        <x:v>EXCHANGE(+INT),TRADE_DAYS,LAST/NEXT_TRADE_DAYS</x:v>
      </x:c>
      <x:c r="U82" s="18" t="str">
        <x:v>同步/回调合约待逐项核对</x:v>
      </x:c>
      <x:c r="V82" s="18" t="str">
        <x:v>docs/PDF_API_INVENTORY.md</x:v>
      </x:c>
      <x:c r="W82" s="18" t="str">
        <x:v>已有 SSE 区间</x:v>
      </x:c>
      <x:c r="X82" s="18" t="str">
        <x:v>PDF 未收录 A010061003；实测功能号与 PDF 目录不一致，需在证据中保留该差异</x:v>
      </x:c>
      <x:c r="Y82" s="18" t="str"/>
    </x:row>
    <x:row r="83" ht="42" customHeight="1">
      <x:c r="A83" s="20" t="n">
        <x:v>79</x:v>
      </x:c>
      <x:c r="B83" s="18" t="str">
        <x:v>TGW C++ 开发手册</x:v>
      </x:c>
      <x:c r="C83" s="18" t="str">
        <x:v>173–174</x:v>
      </x:c>
      <x:c r="D83" s="18" t="str">
        <x:v>资讯-交易日历</x:v>
      </x:c>
      <x:c r="E83" s="18" t="str">
        <x:v>A010061001 交易日历(含期货期权)</x:v>
      </x:c>
      <x:c r="F83" s="18" t="str">
        <x:v>A010061001 交易日历(含期货期权)</x:v>
      </x:c>
      <x:c r="G83" s="18" t="str">
        <x:v>按文档</x:v>
      </x:c>
      <x:c r="H83" s="18" t="str">
        <x:v>是</x:v>
      </x:c>
      <x:c r="I83" s="18" t="str">
        <x:v>低</x:v>
      </x:c>
      <x:c r="J83" s="18" t="str">
        <x:v>INVENTORIED</x:v>
      </x:c>
      <x:c r="K83" s="19" t="n">
        <x:f>IFERROR(VLOOKUP(J83,'状态字典'!$A$5:$B$16,2,FALSE),0)</x:f>
        <x:v>10</x:v>
      </x:c>
      <x:c r="L83" s="18" t="str"/>
      <x:c r="M83" s="18" t="str">
        <x:v>未执行</x:v>
      </x:c>
      <x:c r="N83" s="18" t="str">
        <x:v>待逐接口取证</x:v>
      </x:c>
      <x:c r="O83" s="18" t="str"/>
      <x:c r="P83" s="18" t="str">
        <x:v>待实现/复验</x:v>
      </x:c>
      <x:c r="Q83" s="18" t="str">
        <x:v>INVENTORIED</x:v>
      </x:c>
      <x:c r="R83" s="18" t="str">
        <x:v>期货市场 3 天窗；Linux oracle → wire → Mac → 同参</x:v>
      </x:c>
      <x:c r="S83" s="18" t="str">
        <x:v>同上+market 可选</x:v>
      </x:c>
      <x:c r="T83" s="18" t="str">
        <x:v>同上（CFFEX/CZCE 示例）</x:v>
      </x:c>
      <x:c r="U83" s="18" t="str">
        <x:v>同步/回调合约待逐项核对</x:v>
      </x:c>
      <x:c r="V83" s="18" t="str">
        <x:v>docs/PDF_API_INVENTORY.md</x:v>
      </x:c>
      <x:c r="W83" s="18" t="str">
        <x:v>期货市场 3 天窗</x:v>
      </x:c>
      <x:c r="X83" s="18" t="str">
        <x:v>同上差异背景下的新增功能号须先 oracle</x:v>
      </x:c>
      <x:c r="Y83" s="18" t="str"/>
    </x:row>
    <x:row r="84" ht="42" customHeight="1">
      <x:c r="A84" s="20" t="n">
        <x:v>80</x:v>
      </x:c>
      <x:c r="B84" s="18" t="str">
        <x:v>TGW C++ 开发手册</x:v>
      </x:c>
      <x:c r="C84" s="18" t="str">
        <x:v>175–176</x:v>
      </x:c>
      <x:c r="D84" s="18" t="str">
        <x:v>资讯-异动</x:v>
      </x:c>
      <x:c r="E84" s="18" t="str">
        <x:v>A010070001 大宗交易</x:v>
      </x:c>
      <x:c r="F84" s="18" t="str">
        <x:v>A010070001 大宗交易</x:v>
      </x:c>
      <x:c r="G84" s="18" t="str">
        <x:v>按文档</x:v>
      </x:c>
      <x:c r="H84" s="18" t="str">
        <x:v>是</x:v>
      </x:c>
      <x:c r="I84" s="18" t="str">
        <x:v>低</x:v>
      </x:c>
      <x:c r="J84" s="18" t="str">
        <x:v>INVENTORIED</x:v>
      </x:c>
      <x:c r="K84" s="19" t="n">
        <x:f>IFERROR(VLOOKUP(J84,'状态字典'!$A$5:$B$16,2,FALSE),0)</x:f>
        <x:v>10</x:v>
      </x:c>
      <x:c r="L84" s="18" t="str"/>
      <x:c r="M84" s="18" t="str">
        <x:v>未执行</x:v>
      </x:c>
      <x:c r="N84" s="18" t="str">
        <x:v>待逐接口取证</x:v>
      </x:c>
      <x:c r="O84" s="18" t="str"/>
      <x:c r="P84" s="18" t="str">
        <x:v>待实现/复验</x:v>
      </x:c>
      <x:c r="Q84" s="18" t="str">
        <x:v>INVENTORIED</x:v>
      </x:c>
      <x:c r="R84" s="18" t="str">
        <x:v>单代码最新日；Linux oracle → wire → Mac → 同参</x:v>
      </x:c>
      <x:c r="S84" s="18" t="str">
        <x:v>market_code,start/end_date(0=最新)</x:v>
      </x:c>
      <x:c r="T84" s="18" t="str">
        <x:v>成交价/量/金额/营业部</x:v>
      </x:c>
      <x:c r="U84" s="18" t="str">
        <x:v>同步/回调合约待逐项核对</x:v>
      </x:c>
      <x:c r="V84" s="18" t="str">
        <x:v>docs/PDF_API_INVENTORY.md</x:v>
      </x:c>
      <x:c r="W84" s="18" t="str">
        <x:v>单代码最新日</x:v>
      </x:c>
      <x:c r="X84" s="18" t="str">
        <x:v>对应 AD get_block_trading（推断）</x:v>
      </x:c>
      <x:c r="Y84" s="18" t="str"/>
    </x:row>
    <x:row r="85" ht="42" customHeight="1">
      <x:c r="A85" s="20" t="n">
        <x:v>81</x:v>
      </x:c>
      <x:c r="B85" s="18" t="str">
        <x:v>TGW C++ 开发手册</x:v>
      </x:c>
      <x:c r="C85" s="18" t="str">
        <x:v>176–177</x:v>
      </x:c>
      <x:c r="D85" s="18" t="str">
        <x:v>资讯-异动</x:v>
      </x:c>
      <x:c r="E85" s="18" t="str">
        <x:v>A010070002 龙虎榜营业部</x:v>
      </x:c>
      <x:c r="F85" s="18" t="str">
        <x:v>A010070002 龙虎榜营业部</x:v>
      </x:c>
      <x:c r="G85" s="18" t="str">
        <x:v>按文档</x:v>
      </x:c>
      <x:c r="H85" s="18" t="str">
        <x:v>是</x:v>
      </x:c>
      <x:c r="I85" s="18" t="str">
        <x:v>低</x:v>
      </x:c>
      <x:c r="J85" s="18" t="str">
        <x:v>INVENTORIED</x:v>
      </x:c>
      <x:c r="K85" s="19" t="n">
        <x:f>IFERROR(VLOOKUP(J85,'状态字典'!$A$5:$B$16,2,FALSE),0)</x:f>
        <x:v>10</x:v>
      </x:c>
      <x:c r="L85" s="18" t="str"/>
      <x:c r="M85" s="18" t="str">
        <x:v>未执行</x:v>
      </x:c>
      <x:c r="N85" s="18" t="str">
        <x:v>待逐接口取证</x:v>
      </x:c>
      <x:c r="O85" s="18" t="str"/>
      <x:c r="P85" s="18" t="str">
        <x:v>待实现/复验</x:v>
      </x:c>
      <x:c r="Q85" s="18" t="str">
        <x:v>INVENTORIED</x:v>
      </x:c>
      <x:c r="R85" s="18" t="str">
        <x:v>单代码最新日；Linux oracle → wire → Mac → 同参</x:v>
      </x:c>
      <x:c r="S85" s="18" t="str">
        <x:v>章节详列</x:v>
      </x:c>
      <x:c r="T85" s="18" t="str">
        <x:v>字段表</x:v>
      </x:c>
      <x:c r="U85" s="18" t="str">
        <x:v>同步/回调合约待逐项核对</x:v>
      </x:c>
      <x:c r="V85" s="18" t="str">
        <x:v>docs/PDF_API_INVENTORY.md</x:v>
      </x:c>
      <x:c r="W85" s="18" t="str">
        <x:v>单代码最新日</x:v>
      </x:c>
      <x:c r="X85" s="18" t="str">
        <x:v>对应 AD get_long_hu_bang（推断）</x:v>
      </x:c>
      <x:c r="Y85" s="18" t="str"/>
    </x:row>
    <x:row r="86" ht="42" customHeight="1">
      <x:c r="A86" s="20" t="n">
        <x:v>82</x:v>
      </x:c>
      <x:c r="B86" s="18" t="str">
        <x:v>TGW C++ 开发手册</x:v>
      </x:c>
      <x:c r="C86" s="18" t="str">
        <x:v>177–179</x:v>
      </x:c>
      <x:c r="D86" s="18" t="str">
        <x:v>资讯-两融</x:v>
      </x:c>
      <x:c r="E86" s="18" t="str">
        <x:v>A010080001 融资融券交易明细</x:v>
      </x:c>
      <x:c r="F86" s="18" t="str">
        <x:v>A010080001 融资融券交易明细</x:v>
      </x:c>
      <x:c r="G86" s="18" t="str">
        <x:v>按文档</x:v>
      </x:c>
      <x:c r="H86" s="18" t="str">
        <x:v>是</x:v>
      </x:c>
      <x:c r="I86" s="18" t="str">
        <x:v>低</x:v>
      </x:c>
      <x:c r="J86" s="18" t="str">
        <x:v>INVENTORIED</x:v>
      </x:c>
      <x:c r="K86" s="19" t="n">
        <x:f>IFERROR(VLOOKUP(J86,'状态字典'!$A$5:$B$16,2,FALSE),0)</x:f>
        <x:v>10</x:v>
      </x:c>
      <x:c r="L86" s="18" t="str"/>
      <x:c r="M86" s="18" t="str">
        <x:v>未执行</x:v>
      </x:c>
      <x:c r="N86" s="18" t="str">
        <x:v>待逐接口取证</x:v>
      </x:c>
      <x:c r="O86" s="18" t="str"/>
      <x:c r="P86" s="18" t="str">
        <x:v>待实现/复验</x:v>
      </x:c>
      <x:c r="Q86" s="18" t="str">
        <x:v>INVENTORIED</x:v>
      </x:c>
      <x:c r="R86" s="18" t="str">
        <x:v>单市场最新日；Linux oracle → wire → Mac → 同参</x:v>
      </x:c>
      <x:c r="S86" s="18" t="str">
        <x:v>章节详列</x:v>
      </x:c>
      <x:c r="T86" s="18" t="str">
        <x:v>字段表</x:v>
      </x:c>
      <x:c r="U86" s="18" t="str">
        <x:v>同步/回调合约待逐项核对</x:v>
      </x:c>
      <x:c r="V86" s="18" t="str">
        <x:v>docs/PDF_API_INVENTORY.md</x:v>
      </x:c>
      <x:c r="W86" s="18" t="str">
        <x:v>单市场最新日</x:v>
      </x:c>
      <x:c r="X86" s="18" t="str">
        <x:v>对应 AD get_margin_detail（推断）</x:v>
      </x:c>
      <x:c r="Y86" s="18" t="str"/>
    </x:row>
    <x:row r="87" ht="42" customHeight="1">
      <x:c r="A87" s="20" t="n">
        <x:v>83</x:v>
      </x:c>
      <x:c r="B87" s="18" t="str">
        <x:v>TGW C++ 开发手册</x:v>
      </x:c>
      <x:c r="C87" s="18" t="str">
        <x:v>179–180</x:v>
      </x:c>
      <x:c r="D87" s="18" t="str">
        <x:v>资讯-两融</x:v>
      </x:c>
      <x:c r="E87" s="18" t="str">
        <x:v>A010080002 融资融券成交汇总</x:v>
      </x:c>
      <x:c r="F87" s="18" t="str">
        <x:v>A010080002 融资融券成交汇总</x:v>
      </x:c>
      <x:c r="G87" s="18" t="str">
        <x:v>按文档</x:v>
      </x:c>
      <x:c r="H87" s="18" t="str">
        <x:v>是</x:v>
      </x:c>
      <x:c r="I87" s="18" t="str">
        <x:v>低</x:v>
      </x:c>
      <x:c r="J87" s="18" t="str">
        <x:v>INVENTORIED</x:v>
      </x:c>
      <x:c r="K87" s="19" t="n">
        <x:f>IFERROR(VLOOKUP(J87,'状态字典'!$A$5:$B$16,2,FALSE),0)</x:f>
        <x:v>10</x:v>
      </x:c>
      <x:c r="L87" s="18" t="str"/>
      <x:c r="M87" s="18" t="str">
        <x:v>未执行</x:v>
      </x:c>
      <x:c r="N87" s="18" t="str">
        <x:v>待逐接口取证</x:v>
      </x:c>
      <x:c r="O87" s="18" t="str"/>
      <x:c r="P87" s="18" t="str">
        <x:v>待实现/复验</x:v>
      </x:c>
      <x:c r="Q87" s="18" t="str">
        <x:v>INVENTORIED</x:v>
      </x:c>
      <x:c r="R87" s="18" t="str">
        <x:v>单市场最新日；Linux oracle → wire → Mac → 同参</x:v>
      </x:c>
      <x:c r="S87" s="18" t="str">
        <x:v>章节详列</x:v>
      </x:c>
      <x:c r="T87" s="18" t="str">
        <x:v>字段表</x:v>
      </x:c>
      <x:c r="U87" s="18" t="str">
        <x:v>同步/回调合约待逐项核对</x:v>
      </x:c>
      <x:c r="V87" s="18" t="str">
        <x:v>docs/PDF_API_INVENTORY.md</x:v>
      </x:c>
      <x:c r="W87" s="18" t="str">
        <x:v>单市场最新日</x:v>
      </x:c>
      <x:c r="X87" s="18" t="str">
        <x:v>对应 AD get_margin_summary（推断）</x:v>
      </x:c>
      <x:c r="Y87" s="18" t="str"/>
    </x:row>
    <x:row r="88" ht="42" customHeight="1">
      <x:c r="A88" s="20" t="n">
        <x:v>84</x:v>
      </x:c>
      <x:c r="B88" s="18" t="str">
        <x:v>TGW C++ 开发手册</x:v>
      </x:c>
      <x:c r="C88" s="18" t="str">
        <x:v>180</x:v>
      </x:c>
      <x:c r="D88" s="18" t="str">
        <x:v>资讯-基金</x:v>
      </x:c>
      <x:c r="E88" s="18" t="str">
        <x:v>A010090001 基金最新指标</x:v>
      </x:c>
      <x:c r="F88" s="18" t="str">
        <x:v>A010090001 基金最新指标</x:v>
      </x:c>
      <x:c r="G88" s="18" t="str">
        <x:v>按文档</x:v>
      </x:c>
      <x:c r="H88" s="18" t="str">
        <x:v>是</x:v>
      </x:c>
      <x:c r="I88" s="18" t="str">
        <x:v>低</x:v>
      </x:c>
      <x:c r="J88" s="18" t="str">
        <x:v>INVENTORIED</x:v>
      </x:c>
      <x:c r="K88" s="19" t="n">
        <x:f>IFERROR(VLOOKUP(J88,'状态字典'!$A$5:$B$16,2,FALSE),0)</x:f>
        <x:v>10</x:v>
      </x:c>
      <x:c r="L88" s="18" t="str"/>
      <x:c r="M88" s="18" t="str">
        <x:v>未执行</x:v>
      </x:c>
      <x:c r="N88" s="18" t="str">
        <x:v>待逐接口取证</x:v>
      </x:c>
      <x:c r="O88" s="18" t="str"/>
      <x:c r="P88" s="18" t="str">
        <x:v>待实现/复验</x:v>
      </x:c>
      <x:c r="Q88" s="18" t="str">
        <x:v>INVENTORIED</x:v>
      </x:c>
      <x:c r="R88" s="18" t="str">
        <x:v>单基金；Linux oracle → wire → Mac → 同参</x:v>
      </x:c>
      <x:c r="S88" s="18" t="str">
        <x:v>章节详列</x:v>
      </x:c>
      <x:c r="T88" s="18" t="str">
        <x:v>字段表</x:v>
      </x:c>
      <x:c r="U88" s="18" t="str">
        <x:v>同步/回调合约待逐项核对</x:v>
      </x:c>
      <x:c r="V88" s="18" t="str">
        <x:v>docs/PDF_API_INVENTORY.md</x:v>
      </x:c>
      <x:c r="W88" s="18" t="str">
        <x:v>单基金</x:v>
      </x:c>
      <x:c r="X88" s="18" t="str">
        <x:v>—</x:v>
      </x:c>
      <x:c r="Y88" s="18" t="str"/>
    </x:row>
    <x:row r="89" ht="42" customHeight="1">
      <x:c r="A89" s="20" t="n">
        <x:v>85</x:v>
      </x:c>
      <x:c r="B89" s="18" t="str">
        <x:v>TGW C++ 开发手册</x:v>
      </x:c>
      <x:c r="C89" s="18" t="str">
        <x:v>180–181</x:v>
      </x:c>
      <x:c r="D89" s="18" t="str">
        <x:v>资讯-指数</x:v>
      </x:c>
      <x:c r="E89" s="18" t="str">
        <x:v>A010200001 A股指数成分股</x:v>
      </x:c>
      <x:c r="F89" s="18" t="str">
        <x:v>A010200001 A股指数成分股</x:v>
      </x:c>
      <x:c r="G89" s="18" t="str">
        <x:v>按文档</x:v>
      </x:c>
      <x:c r="H89" s="18" t="str">
        <x:v>是</x:v>
      </x:c>
      <x:c r="I89" s="18" t="str">
        <x:v>低</x:v>
      </x:c>
      <x:c r="J89" s="18" t="str">
        <x:v>INVENTORIED</x:v>
      </x:c>
      <x:c r="K89" s="19" t="n">
        <x:f>IFERROR(VLOOKUP(J89,'状态字典'!$A$5:$B$16,2,FALSE),0)</x:f>
        <x:v>10</x:v>
      </x:c>
      <x:c r="L89" s="18" t="str"/>
      <x:c r="M89" s="18" t="str">
        <x:v>未执行</x:v>
      </x:c>
      <x:c r="N89" s="18" t="str">
        <x:v>待逐接口取证</x:v>
      </x:c>
      <x:c r="O89" s="18" t="str"/>
      <x:c r="P89" s="18" t="str">
        <x:v>待实现/复验</x:v>
      </x:c>
      <x:c r="Q89" s="18" t="str">
        <x:v>INVENTORIED</x:v>
      </x:c>
      <x:c r="R89" s="18" t="str">
        <x:v>单指数；Linux oracle → wire → Mac → 同参</x:v>
      </x:c>
      <x:c r="S89" s="18" t="str">
        <x:v>章节详列</x:v>
      </x:c>
      <x:c r="T89" s="18" t="str">
        <x:v>成分列表</x:v>
      </x:c>
      <x:c r="U89" s="18" t="str">
        <x:v>同步/回调合约待逐项核对</x:v>
      </x:c>
      <x:c r="V89" s="18" t="str">
        <x:v>docs/PDF_API_INVENTORY.md</x:v>
      </x:c>
      <x:c r="W89" s="18" t="str">
        <x:v>单指数</x:v>
      </x:c>
      <x:c r="X89" s="18" t="str">
        <x:v>对应 AD get_index_constituent（推断）</x:v>
      </x:c>
      <x:c r="Y89" s="18" t="str"/>
    </x:row>
    <x:row r="90" ht="42" customHeight="1">
      <x:c r="A90" s="20" t="n">
        <x:v>86</x:v>
      </x:c>
      <x:c r="B90" s="18" t="str">
        <x:v>TGW C++ 开发手册</x:v>
      </x:c>
      <x:c r="C90" s="18" t="str">
        <x:v>181–182</x:v>
      </x:c>
      <x:c r="D90" s="18" t="str">
        <x:v>资讯-元数据</x:v>
      </x:c>
      <x:c r="E90" s="18" t="str">
        <x:v>queryLastFuncDataTime 更新日期</x:v>
      </x:c>
      <x:c r="F90" s="18" t="str">
        <x:v>queryLastFuncDataTime 更新日期</x:v>
      </x:c>
      <x:c r="G90" s="18" t="str">
        <x:v>按文档</x:v>
      </x:c>
      <x:c r="H90" s="18" t="str">
        <x:v>是</x:v>
      </x:c>
      <x:c r="I90" s="18" t="str">
        <x:v>低</x:v>
      </x:c>
      <x:c r="J90" s="18" t="str">
        <x:v>INVENTORIED</x:v>
      </x:c>
      <x:c r="K90" s="19" t="n">
        <x:f>IFERROR(VLOOKUP(J90,'状态字典'!$A$5:$B$16,2,FALSE),0)</x:f>
        <x:v>10</x:v>
      </x:c>
      <x:c r="L90" s="18" t="str"/>
      <x:c r="M90" s="18" t="str">
        <x:v>未执行</x:v>
      </x:c>
      <x:c r="N90" s="18" t="str">
        <x:v>待逐接口取证</x:v>
      </x:c>
      <x:c r="O90" s="18" t="str"/>
      <x:c r="P90" s="18" t="str">
        <x:v>待实现/复验</x:v>
      </x:c>
      <x:c r="Q90" s="18" t="str">
        <x:v>INVENTORIED</x:v>
      </x:c>
      <x:c r="R90" s="18" t="str">
        <x:v>任一已验功能号；Linux oracle → wire → Mac → 同参</x:v>
      </x:c>
      <x:c r="S90" s="18" t="str">
        <x:v>function 相关</x:v>
      </x:c>
      <x:c r="T90" s="18" t="str">
        <x:v>更新日期</x:v>
      </x:c>
      <x:c r="U90" s="18" t="str">
        <x:v>同步/回调合约待逐项核对</x:v>
      </x:c>
      <x:c r="V90" s="18" t="str">
        <x:v>docs/PDF_API_INVENTORY.md</x:v>
      </x:c>
      <x:c r="W90" s="18" t="str">
        <x:v>任一已验功能号</x:v>
      </x:c>
      <x:c r="X90" s="18" t="str">
        <x:v>低风险，适合作为功能号探活的旁证</x:v>
      </x:c>
      <x:c r="Y90" s="18" t="str"/>
    </x:row>
    <x:row r="91" ht="42" customHeight="1">
      <x:c r="A91" s="20" t="n">
        <x:v>87</x:v>
      </x:c>
      <x:c r="B91" s="18" t="str">
        <x:v>AmazingData 开发手册</x:v>
      </x:c>
      <x:c r="C91" s="18" t="str">
        <x:v>10–11</x:v>
      </x:c>
      <x:c r="D91" s="18" t="str">
        <x:v>基础</x:v>
      </x:c>
      <x:c r="E91" s="18" t="str">
        <x:v>ad.login(username,password,host,port)</x:v>
      </x:c>
      <x:c r="F91" s="18" t="str">
        <x:v>3xx 官方编译版</x:v>
      </x:c>
      <x:c r="G91" s="18" t="str">
        <x:v>互联网</x:v>
      </x:c>
      <x:c r="H91" s="18" t="str">
        <x:v>否（待开盘）</x:v>
      </x:c>
      <x:c r="I91" s="18" t="str">
        <x:v>低</x:v>
      </x:c>
      <x:c r="J91" s="18" t="str">
        <x:v>LIVE_ALIGNED</x:v>
      </x:c>
      <x:c r="K91" s="19" t="n">
        <x:f>IFERROR(VLOOKUP(J91,'状态字典'!$A$5:$B$16,2,FALSE),0)</x:f>
        <x:v>85</x:v>
      </x:c>
      <x:c r="L91" s="18" t="str">
        <x:v>2026-08-26</x:v>
      </x:c>
      <x:c r="M91" s="18" t="str">
        <x:v>已有脱敏证据；严格限于状态所述子范围</x:v>
      </x:c>
      <x:c r="N91" s="18" t="str">
        <x:v>—</x:v>
      </x:c>
      <x:c r="O91" s="18" t="str">
        <x:v>2026-08-26</x:v>
      </x:c>
      <x:c r="P91" s="18" t="str">
        <x:v>已有 Mac 子范围证据</x:v>
      </x:c>
      <x:c r="Q91" s="18" t="str">
        <x:v>【已证】经 TGW Login LIVE_ALIGNED(internet login)</x:v>
      </x:c>
      <x:c r="R91" s="18" t="str">
        <x:v>已有；Linux oracle → wire → Mac → 同参</x:v>
      </x:c>
      <x:c r="S91" s="18" t="str">
        <x:v>str×2+host/port</x:v>
      </x:c>
      <x:c r="T91" s="18" t="str">
        <x:v>会话建立</x:v>
      </x:c>
      <x:c r="U91" s="18" t="str">
        <x:v>无</x:v>
      </x:c>
      <x:c r="V91" s="18" t="str">
        <x:v>docs/PDF_API_INVENTORY.md</x:v>
      </x:c>
      <x:c r="W91" s="18" t="str">
        <x:v>已有</x:v>
      </x:c>
      <x:c r="X91" s="18" t="str">
        <x:v>wheel 为 cp3xx 官方编译版，Mac arm64 无官方 wheel</x:v>
      </x:c>
      <x:c r="Y91" s="18" t="str"/>
    </x:row>
    <x:row r="92" ht="42" customHeight="1">
      <x:c r="A92" s="20" t="n">
        <x:v>88</x:v>
      </x:c>
      <x:c r="B92" s="18" t="str">
        <x:v>AmazingData 开发手册</x:v>
      </x:c>
      <x:c r="C92" s="18" t="str">
        <x:v>11</x:v>
      </x:c>
      <x:c r="D92" s="18" t="str">
        <x:v>基础</x:v>
      </x:c>
      <x:c r="E92" s="18" t="str">
        <x:v>logout(username)</x:v>
      </x:c>
      <x:c r="F92" s="18" t="str">
        <x:v>高层 wrapper；底层待取证</x:v>
      </x:c>
      <x:c r="G92" s="18" t="str">
        <x:v>互联网</x:v>
      </x:c>
      <x:c r="H92" s="18" t="str">
        <x:v>是</x:v>
      </x:c>
      <x:c r="I92" s="18" t="str">
        <x:v>低</x:v>
      </x:c>
      <x:c r="J92" s="18" t="str">
        <x:v>INVENTORIED</x:v>
      </x:c>
      <x:c r="K92" s="19" t="n">
        <x:f>IFERROR(VLOOKUP(J92,'状态字典'!$A$5:$B$16,2,FALSE),0)</x:f>
        <x:v>10</x:v>
      </x:c>
      <x:c r="L92" s="18" t="str"/>
      <x:c r="M92" s="18" t="str">
        <x:v>未执行</x:v>
      </x:c>
      <x:c r="N92" s="18" t="str">
        <x:v>—</x:v>
      </x:c>
      <x:c r="O92" s="18" t="str"/>
      <x:c r="P92" s="18" t="str">
        <x:v>待实现/复验</x:v>
      </x:c>
      <x:c r="Q92" s="18" t="str">
        <x:v>EXPERIMENTAL(amazingdata_compat 未验收)</x:v>
      </x:c>
      <x:c r="R92" s="18" t="str">
        <x:v>结构测试；Linux oracle → wire → Mac → 同参</x:v>
      </x:c>
      <x:c r="S92" s="18" t="str">
        <x:v>username</x:v>
      </x:c>
      <x:c r="T92" s="18" t="str">
        <x:v>无</x:v>
      </x:c>
      <x:c r="U92" s="18" t="str">
        <x:v>无</x:v>
      </x:c>
      <x:c r="V92" s="18" t="str">
        <x:v>docs/PDF_API_INVENTORY.md</x:v>
      </x:c>
      <x:c r="W92" s="18" t="str">
        <x:v>结构测试</x:v>
      </x:c>
      <x:c r="X92" s="18" t="str">
        <x:v>正常使用无需登出</x:v>
      </x:c>
      <x:c r="Y92" s="18" t="str"/>
    </x:row>
    <x:row r="93" ht="42" customHeight="1">
      <x:c r="A93" s="20" t="n">
        <x:v>89</x:v>
      </x:c>
      <x:c r="B93" s="18" t="str">
        <x:v>AmazingData 开发手册</x:v>
      </x:c>
      <x:c r="C93" s="18" t="str">
        <x:v>11</x:v>
      </x:c>
      <x:c r="D93" s="18" t="str">
        <x:v>基础（写）</x:v>
      </x:c>
      <x:c r="E93" s="18" t="str">
        <x:v>update_password(old,new)</x:v>
      </x:c>
      <x:c r="F93" s="18" t="str">
        <x:v>#6</x:v>
      </x:c>
      <x:c r="G93" s="18" t="str">
        <x:v>互联网</x:v>
      </x:c>
      <x:c r="H93" s="18" t="str">
        <x:v>禁止默认执行</x:v>
      </x:c>
      <x:c r="I93" s="18" t="str">
        <x:v>高</x:v>
      </x:c>
      <x:c r="J93" s="18" t="str">
        <x:v>INVENTORIED</x:v>
      </x:c>
      <x:c r="K93" s="19" t="n">
        <x:f>IFERROR(VLOOKUP(J93,'状态字典'!$A$5:$B$16,2,FALSE),0)</x:f>
        <x:v>10</x:v>
      </x:c>
      <x:c r="L93" s="18" t="str"/>
      <x:c r="M93" s="18" t="str">
        <x:v>未执行</x:v>
      </x:c>
      <x:c r="N93" s="18" t="str">
        <x:v>—</x:v>
      </x:c>
      <x:c r="O93" s="18" t="str"/>
      <x:c r="P93" s="18" t="str">
        <x:v>待实现/复验</x:v>
      </x:c>
      <x:c r="Q93" s="18" t="str">
        <x:v>INVENTORIED(不执行)</x:v>
      </x:c>
      <x:c r="R93" s="18" t="str">
        <x:v>无；Linux oracle → wire → Mac → 同参</x:v>
      </x:c>
      <x:c r="S93" s="18" t="str">
        <x:v>密码三元组</x:v>
      </x:c>
      <x:c r="T93" s="18" t="str">
        <x:v>无</x:v>
      </x:c>
      <x:c r="U93" s="18" t="str">
        <x:v>无</x:v>
      </x:c>
      <x:c r="V93" s="18" t="str">
        <x:v>docs/PDF_API_INVENTORY.md</x:v>
      </x:c>
      <x:c r="W93" s="18" t="str">
        <x:v>无</x:v>
      </x:c>
      <x:c r="X93" s="18" t="str">
        <x:v>同 #6</x:v>
      </x:c>
      <x:c r="Y93" s="18" t="str"/>
    </x:row>
    <x:row r="94" ht="42" customHeight="1">
      <x:c r="A94" s="20" t="n">
        <x:v>90</x:v>
      </x:c>
      <x:c r="B94" s="18" t="str">
        <x:v>AmazingData 开发手册</x:v>
      </x:c>
      <x:c r="C94" s="18" t="str">
        <x:v>11–12</x:v>
      </x:c>
      <x:c r="D94" s="18" t="str">
        <x:v>基础数据</x:v>
      </x:c>
      <x:c r="E94" s="18" t="str">
        <x:v>BaseData.get_code_info(security_type)</x:v>
      </x:c>
      <x:c r="F94" s="18" t="str">
        <x:v>高层 wrapper；底层待取证</x:v>
      </x:c>
      <x:c r="G94" s="18" t="str">
        <x:v>互联网</x:v>
      </x:c>
      <x:c r="H94" s="18" t="str">
        <x:v>是</x:v>
      </x:c>
      <x:c r="I94" s="18" t="str">
        <x:v>低</x:v>
      </x:c>
      <x:c r="J94" s="18" t="str">
        <x:v>INVENTORIED</x:v>
      </x:c>
      <x:c r="K94" s="19" t="n">
        <x:f>IFERROR(VLOOKUP(J94,'状态字典'!$A$5:$B$16,2,FALSE),0)</x:f>
        <x:v>10</x:v>
      </x:c>
      <x:c r="L94" s="18" t="str"/>
      <x:c r="M94" s="18" t="str">
        <x:v>未执行</x:v>
      </x:c>
      <x:c r="N94" s="18" t="str">
        <x:v>附录 security_type 族</x:v>
      </x:c>
      <x:c r="O94" s="18" t="str"/>
      <x:c r="P94" s="18" t="str">
        <x:v>待实现/复验</x:v>
      </x:c>
      <x:c r="Q94" s="18" t="str">
        <x:v>【推断】≈TGW #38 QuerySecuritiesInfo；INVENTORIED</x:v>
      </x:c>
      <x:c r="R94" s="18" t="str">
        <x:v>单类型全表 shape；Linux oracle → wire → Mac → 同参</x:v>
      </x:c>
      <x:c r="S94" s="18" t="str">
        <x:v>security_type 默认 EXTRA_STOCK_A</x:v>
      </x:c>
      <x:c r="T94" s="18" t="str">
        <x:v>dataframe(symbol,security_status,pre_close,high/low_limited,price_tick)</x:v>
      </x:c>
      <x:c r="U94" s="18" t="str">
        <x:v>无</x:v>
      </x:c>
      <x:c r="V94" s="18" t="str">
        <x:v>docs/PDF_API_INVENTORY.md</x:v>
      </x:c>
      <x:c r="W94" s="18" t="str">
        <x:v>单类型全表 shape</x:v>
      </x:c>
      <x:c r="X94" s="18" t="str">
        <x:v>security_type 枚举全集只在附录文字，无数值表</x:v>
      </x:c>
      <x:c r="Y94" s="18" t="str"/>
    </x:row>
    <x:row r="95" ht="42" customHeight="1">
      <x:c r="A95" s="20" t="n">
        <x:v>91</x:v>
      </x:c>
      <x:c r="B95" s="18" t="str">
        <x:v>AmazingData 开发手册</x:v>
      </x:c>
      <x:c r="C95" s="18" t="str">
        <x:v>12</x:v>
      </x:c>
      <x:c r="D95" s="18" t="str">
        <x:v>基础数据</x:v>
      </x:c>
      <x:c r="E95" s="18" t="str">
        <x:v>get_code_list(security_type)</x:v>
      </x:c>
      <x:c r="F95" s="18" t="str">
        <x:v>高层 wrapper；底层待取证</x:v>
      </x:c>
      <x:c r="G95" s="18" t="str">
        <x:v>互联网</x:v>
      </x:c>
      <x:c r="H95" s="18" t="str">
        <x:v>是</x:v>
      </x:c>
      <x:c r="I95" s="18" t="str">
        <x:v>低</x:v>
      </x:c>
      <x:c r="J95" s="18" t="str">
        <x:v>INVENTORIED</x:v>
      </x:c>
      <x:c r="K95" s="19" t="n">
        <x:f>IFERROR(VLOOKUP(J95,'状态字典'!$A$5:$B$16,2,FALSE),0)</x:f>
        <x:v>10</x:v>
      </x:c>
      <x:c r="L95" s="18" t="str"/>
      <x:c r="M95" s="18" t="str">
        <x:v>未执行</x:v>
      </x:c>
      <x:c r="N95" s="18" t="str">
        <x:v>同上</x:v>
      </x:c>
      <x:c r="O95" s="18" t="str"/>
      <x:c r="P95" s="18" t="str">
        <x:v>待实现/复验</x:v>
      </x:c>
      <x:c r="Q95" s="18" t="str">
        <x:v>【推断】≈#38/#37 子集；INVENTORIED</x:v>
      </x:c>
      <x:c r="R95" s="18" t="str">
        <x:v>EXTRA_ETF 全列表；Linux oracle → wire → Mac → 同参</x:v>
      </x:c>
      <x:c r="S95" s="18" t="str">
        <x:v>同上</x:v>
      </x:c>
      <x:c r="T95" s="18" t="str">
        <x:v>list[code]</x:v>
      </x:c>
      <x:c r="U95" s="18" t="str">
        <x:v>无</x:v>
      </x:c>
      <x:c r="V95" s="18" t="str">
        <x:v>docs/PDF_API_INVENTORY.md</x:v>
      </x:c>
      <x:c r="W95" s="18" t="str">
        <x:v>EXTRA_ETF 全列表</x:v>
      </x:c>
      <x:c r="X95" s="18" t="str">
        <x:v>—</x:v>
      </x:c>
      <x:c r="Y95" s="18" t="str"/>
    </x:row>
    <x:row r="96" ht="42" customHeight="1">
      <x:c r="A96" s="20" t="n">
        <x:v>92</x:v>
      </x:c>
      <x:c r="B96" s="18" t="str">
        <x:v>AmazingData 开发手册</x:v>
      </x:c>
      <x:c r="C96" s="18" t="str">
        <x:v>13</x:v>
      </x:c>
      <x:c r="D96" s="18" t="str">
        <x:v>基础数据</x:v>
      </x:c>
      <x:c r="E96" s="18" t="str">
        <x:v>get_future_code_list(security_type)</x:v>
      </x:c>
      <x:c r="F96" s="18" t="str">
        <x:v>高层 wrapper；底层待取证</x:v>
      </x:c>
      <x:c r="G96" s="18" t="str">
        <x:v>互联网</x:v>
      </x:c>
      <x:c r="H96" s="18" t="str">
        <x:v>是</x:v>
      </x:c>
      <x:c r="I96" s="18" t="str">
        <x:v>低</x:v>
      </x:c>
      <x:c r="J96" s="18" t="str">
        <x:v>INVENTORIED</x:v>
      </x:c>
      <x:c r="K96" s="19" t="n">
        <x:f>IFERROR(VLOOKUP(J96,'状态字典'!$A$5:$B$16,2,FALSE),0)</x:f>
        <x:v>10</x:v>
      </x:c>
      <x:c r="L96" s="18" t="str"/>
      <x:c r="M96" s="18" t="str">
        <x:v>未执行</x:v>
      </x:c>
      <x:c r="N96" s="18" t="str">
        <x:v>期货 security_type</x:v>
      </x:c>
      <x:c r="O96" s="18" t="str"/>
      <x:c r="P96" s="18" t="str">
        <x:v>待实现/复验</x:v>
      </x:c>
      <x:c r="Q96" s="18" t="str">
        <x:v>INVENTORIED</x:v>
      </x:c>
      <x:c r="R96" s="18" t="str">
        <x:v>单交易所列表；Linux oracle → wire → Mac → 同参</x:v>
      </x:c>
      <x:c r="S96" s="18" t="str">
        <x:v>ZJ_FUTURE 等</x:v>
      </x:c>
      <x:c r="T96" s="18" t="str">
        <x:v>list</x:v>
      </x:c>
      <x:c r="U96" s="18" t="str">
        <x:v>无</x:v>
      </x:c>
      <x:c r="V96" s="18" t="str">
        <x:v>docs/PDF_API_INVENTORY.md</x:v>
      </x:c>
      <x:c r="W96" s="18" t="str">
        <x:v>单交易所列表</x:v>
      </x:c>
      <x:c r="X96" s="18" t="str">
        <x:v>需期货权限</x:v>
      </x:c>
      <x:c r="Y96" s="18" t="str"/>
    </x:row>
    <x:row r="97" ht="42" customHeight="1">
      <x:c r="A97" s="20" t="n">
        <x:v>93</x:v>
      </x:c>
      <x:c r="B97" s="18" t="str">
        <x:v>AmazingData 开发手册</x:v>
      </x:c>
      <x:c r="C97" s="18" t="str">
        <x:v>13</x:v>
      </x:c>
      <x:c r="D97" s="18" t="str">
        <x:v>基础数据</x:v>
      </x:c>
      <x:c r="E97" s="18" t="str">
        <x:v>get_option_code_list(security_type)</x:v>
      </x:c>
      <x:c r="F97" s="18" t="str">
        <x:v>高层 wrapper；底层待取证</x:v>
      </x:c>
      <x:c r="G97" s="18" t="str">
        <x:v>互联网</x:v>
      </x:c>
      <x:c r="H97" s="18" t="str">
        <x:v>是</x:v>
      </x:c>
      <x:c r="I97" s="18" t="str">
        <x:v>低</x:v>
      </x:c>
      <x:c r="J97" s="18" t="str">
        <x:v>INVENTORIED</x:v>
      </x:c>
      <x:c r="K97" s="19" t="n">
        <x:f>IFERROR(VLOOKUP(J97,'状态字典'!$A$5:$B$16,2,FALSE),0)</x:f>
        <x:v>10</x:v>
      </x:c>
      <x:c r="L97" s="18" t="str"/>
      <x:c r="M97" s="18" t="str">
        <x:v>未执行</x:v>
      </x:c>
      <x:c r="N97" s="18" t="str">
        <x:v>期权 security_type</x:v>
      </x:c>
      <x:c r="O97" s="18" t="str"/>
      <x:c r="P97" s="18" t="str">
        <x:v>待实现/复验</x:v>
      </x:c>
      <x:c r="Q97" s="18" t="str">
        <x:v>INVENTORIED</x:v>
      </x:c>
      <x:c r="R97" s="18" t="str">
        <x:v>ETF 期权列表；Linux oracle → wire → Mac → 同参</x:v>
      </x:c>
      <x:c r="S97" s="18" t="str">
        <x:v>EXTRA_ETF_OP 等</x:v>
      </x:c>
      <x:c r="T97" s="18" t="str">
        <x:v>list</x:v>
      </x:c>
      <x:c r="U97" s="18" t="str">
        <x:v>无</x:v>
      </x:c>
      <x:c r="V97" s="18" t="str">
        <x:v>docs/PDF_API_INVENTORY.md</x:v>
      </x:c>
      <x:c r="W97" s="18" t="str">
        <x:v>ETF 期权列表</x:v>
      </x:c>
      <x:c r="X97" s="18" t="str">
        <x:v>同上</x:v>
      </x:c>
      <x:c r="Y97" s="18" t="str"/>
    </x:row>
    <x:row r="98" ht="42" customHeight="1">
      <x:c r="A98" s="20" t="n">
        <x:v>94</x:v>
      </x:c>
      <x:c r="B98" s="18" t="str">
        <x:v>AmazingData 开发手册</x:v>
      </x:c>
      <x:c r="C98" s="18" t="str">
        <x:v>14</x:v>
      </x:c>
      <x:c r="D98" s="18" t="str">
        <x:v>基础数据</x:v>
      </x:c>
      <x:c r="E98" s="18" t="str">
        <x:v>get_backward_factor(code_list,local_path,is_local)</x:v>
      </x:c>
      <x:c r="F98" s="18" t="str">
        <x:v>5 本地缓存与 Mac 实现无关</x:v>
      </x:c>
      <x:c r="G98" s="18" t="str">
        <x:v>互联网</x:v>
      </x:c>
      <x:c r="H98" s="18" t="str">
        <x:v>是</x:v>
      </x:c>
      <x:c r="I98" s="18" t="str">
        <x:v>低</x:v>
      </x:c>
      <x:c r="J98" s="18" t="str">
        <x:v>INVENTORIED</x:v>
      </x:c>
      <x:c r="K98" s="19" t="n">
        <x:f>IFERROR(VLOOKUP(J98,'状态字典'!$A$5:$B$16,2,FALSE),0)</x:f>
        <x:v>10</x:v>
      </x:c>
      <x:c r="L98" s="18" t="str"/>
      <x:c r="M98" s="18" t="str">
        <x:v>未执行</x:v>
      </x:c>
      <x:c r="N98" s="18" t="str">
        <x:v>缓存方案 §4.4</x:v>
      </x:c>
      <x:c r="O98" s="18" t="str"/>
      <x:c r="P98" s="18" t="str">
        <x:v>待实现/复验</x:v>
      </x:c>
      <x:c r="Q98" s="18" t="str">
        <x:v>【推断】复权因子另有 TGW #67/#39 两路；INVENTORIED</x:v>
      </x:c>
      <x:c r="R98" s="18" t="str">
        <x:v>单 ETF 后复权一列；Linux oracle → wire → Mac → 同参</x:v>
      </x:c>
      <x:c r="S98" s="18" t="str">
        <x:v>codes+本地缓存参数</x:v>
      </x:c>
      <x:c r="T98" s="18" t="str">
        <x:v>df(index=日期,column=代码)</x:v>
      </x:c>
      <x:c r="U98" s="18" t="str">
        <x:v>无</x:v>
      </x:c>
      <x:c r="V98" s="18" t="str">
        <x:v>docs/PDF_API_INVENTORY.md</x:v>
      </x:c>
      <x:c r="W98" s="18" t="str">
        <x:v>单 ETF 后复权一列</x:v>
      </x:c>
      <x:c r="X98" s="18" t="str">
        <x:v>hdf5 本地缓存与 Mac 实现无关，属 wrapper 层</x:v>
      </x:c>
      <x:c r="Y98" s="18" t="str"/>
    </x:row>
    <x:row r="99" ht="42" customHeight="1">
      <x:c r="A99" s="20" t="n">
        <x:v>95</x:v>
      </x:c>
      <x:c r="B99" s="18" t="str">
        <x:v>AmazingData 开发手册</x:v>
      </x:c>
      <x:c r="C99" s="18" t="str">
        <x:v>14–15</x:v>
      </x:c>
      <x:c r="D99" s="18" t="str">
        <x:v>基础数据</x:v>
      </x:c>
      <x:c r="E99" s="18" t="str">
        <x:v>get_adj_factor(...)</x:v>
      </x:c>
      <x:c r="F99" s="18" t="str">
        <x:v>高层 wrapper；底层待取证</x:v>
      </x:c>
      <x:c r="G99" s="18" t="str">
        <x:v>互联网</x:v>
      </x:c>
      <x:c r="H99" s="18" t="str">
        <x:v>是</x:v>
      </x:c>
      <x:c r="I99" s="18" t="str">
        <x:v>低</x:v>
      </x:c>
      <x:c r="J99" s="18" t="str">
        <x:v>INVENTORIED</x:v>
      </x:c>
      <x:c r="K99" s="19" t="n">
        <x:f>IFERROR(VLOOKUP(J99,'状态字典'!$A$5:$B$16,2,FALSE),0)</x:f>
        <x:v>10</x:v>
      </x:c>
      <x:c r="L99" s="18" t="str"/>
      <x:c r="M99" s="18" t="str">
        <x:v>未执行</x:v>
      </x:c>
      <x:c r="N99" s="18" t="str">
        <x:v>同上</x:v>
      </x:c>
      <x:c r="O99" s="18" t="str"/>
      <x:c r="P99" s="18" t="str">
        <x:v>待实现/复验</x:v>
      </x:c>
      <x:c r="Q99" s="18" t="str">
        <x:v>INVENTORIED</x:v>
      </x:c>
      <x:c r="R99" s="18" t="str">
        <x:v>单 ETF 单次因子；Linux oracle → wire → Mac → 同参</x:v>
      </x:c>
      <x:c r="S99" s="18" t="str">
        <x:v>同上</x:v>
      </x:c>
      <x:c r="T99" s="18" t="str">
        <x:v>df</x:v>
      </x:c>
      <x:c r="U99" s="18" t="str">
        <x:v>无</x:v>
      </x:c>
      <x:c r="V99" s="18" t="str">
        <x:v>docs/PDF_API_INVENTORY.md</x:v>
      </x:c>
      <x:c r="W99" s="18" t="str">
        <x:v>单 ETF 单次因子</x:v>
      </x:c>
      <x:c r="X99" s="18" t="str">
        <x:v>同上</x:v>
      </x:c>
      <x:c r="Y99" s="18" t="str"/>
    </x:row>
    <x:row r="100" ht="42" customHeight="1">
      <x:c r="A100" s="20" t="n">
        <x:v>96</x:v>
      </x:c>
      <x:c r="B100" s="18" t="str">
        <x:v>AmazingData 开发手册</x:v>
      </x:c>
      <x:c r="C100" s="18" t="str">
        <x:v>15</x:v>
      </x:c>
      <x:c r="D100" s="18" t="str">
        <x:v>基础数据</x:v>
      </x:c>
      <x:c r="E100" s="18" t="str">
        <x:v>get_hist_code_list(type,start,end,local_path)</x:v>
      </x:c>
      <x:c r="F100" s="18" t="str">
        <x:v>高层 wrapper；底层待取证</x:v>
      </x:c>
      <x:c r="G100" s="18" t="str">
        <x:v>互联网</x:v>
      </x:c>
      <x:c r="H100" s="18" t="str">
        <x:v>是</x:v>
      </x:c>
      <x:c r="I100" s="18" t="str">
        <x:v>低</x:v>
      </x:c>
      <x:c r="J100" s="18" t="str">
        <x:v>INVENTORIED</x:v>
      </x:c>
      <x:c r="K100" s="19" t="n">
        <x:f>IFERROR(VLOOKUP(J100,'状态字典'!$A$5:$B$16,2,FALSE),0)</x:f>
        <x:v>10</x:v>
      </x:c>
      <x:c r="L100" s="18" t="str"/>
      <x:c r="M100" s="18" t="str">
        <x:v>未执行</x:v>
      </x:c>
      <x:c r="N100" s="18" t="str">
        <x:v>—</x:v>
      </x:c>
      <x:c r="O100" s="18" t="str"/>
      <x:c r="P100" s="18" t="str">
        <x:v>待实现/复验</x:v>
      </x:c>
      <x:c r="Q100" s="18" t="str">
        <x:v>INVENTORIED</x:v>
      </x:c>
      <x:c r="R100" s="18" t="str">
        <x:v>一周窄窗；Linux oracle → wire → Mac → 同参</x:v>
      </x:c>
      <x:c r="S100" s="18" t="str">
        <x:v>类型+闭区间</x:v>
      </x:c>
      <x:c r="T100" s="18" t="str">
        <x:v>list</x:v>
      </x:c>
      <x:c r="U100" s="18" t="str">
        <x:v>无</x:v>
      </x:c>
      <x:c r="V100" s="18" t="str">
        <x:v>docs/PDF_API_INVENTORY.md</x:v>
      </x:c>
      <x:c r="W100" s="18" t="str">
        <x:v>一周窄窗</x:v>
      </x:c>
      <x:c r="X100" s="18" t="str">
        <x:v>历史代码表底层服务未见于 TGW 手册</x:v>
      </x:c>
      <x:c r="Y100" s="18" t="str"/>
    </x:row>
    <x:row r="101" ht="42" customHeight="1">
      <x:c r="A101" s="20" t="n">
        <x:v>97</x:v>
      </x:c>
      <x:c r="B101" s="18" t="str">
        <x:v>AmazingData 开发手册</x:v>
      </x:c>
      <x:c r="C101" s="18" t="str">
        <x:v>16</x:v>
      </x:c>
      <x:c r="D101" s="18" t="str">
        <x:v>基础数据</x:v>
      </x:c>
      <x:c r="E101" s="18" t="str">
        <x:v>get_calendar(data_type,market)</x:v>
      </x:c>
      <x:c r="F101" s="18" t="str">
        <x:v>高层 wrapper；底层待取证</x:v>
      </x:c>
      <x:c r="G101" s="18" t="str">
        <x:v>互联网</x:v>
      </x:c>
      <x:c r="H101" s="18" t="str">
        <x:v>是</x:v>
      </x:c>
      <x:c r="I101" s="18" t="str">
        <x:v>低</x:v>
      </x:c>
      <x:c r="J101" s="18" t="str">
        <x:v>LIVE_ALIGNED</x:v>
      </x:c>
      <x:c r="K101" s="19" t="n">
        <x:f>IFERROR(VLOOKUP(J101,'状态字典'!$A$5:$B$16,2,FALSE),0)</x:f>
        <x:v>85</x:v>
      </x:c>
      <x:c r="L101" s="18" t="str">
        <x:v>2026-08-26</x:v>
      </x:c>
      <x:c r="M101" s="18" t="str">
        <x:v>已有脱敏证据；严格限于状态所述子范围</x:v>
      </x:c>
      <x:c r="N101" s="18" t="str">
        <x:v>market: SH 等</x:v>
      </x:c>
      <x:c r="O101" s="18" t="str">
        <x:v>2026-08-26</x:v>
      </x:c>
      <x:c r="P101" s="18" t="str">
        <x:v>已有 Mac 子范围证据</x:v>
      </x:c>
      <x:c r="Q101" s="18" t="str">
        <x:v>【已证】底层 ThirdInfo 日历 LIVE_ALIGNED(calendar function only)</x:v>
      </x:c>
      <x:c r="R101" s="18" t="str">
        <x:v>已有；Linux oracle → wire → Mac → 同参</x:v>
      </x:c>
      <x:c r="S101" s="18" t="str">
        <x:v>market 默认 SH</x:v>
      </x:c>
      <x:c r="T101" s="18" t="str">
        <x:v>List[int]</x:v>
      </x:c>
      <x:c r="U101" s="18" t="str">
        <x:v>无</x:v>
      </x:c>
      <x:c r="V101" s="18" t="str">
        <x:v>docs/PDF_API_INVENTORY.md</x:v>
      </x:c>
      <x:c r="W101" s="18" t="str">
        <x:v>已有</x:v>
      </x:c>
      <x:c r="X101" s="18" t="str">
        <x:v>AD 层参数→TGW 功能号的对应关系未在 PDF 明示</x:v>
      </x:c>
      <x:c r="Y101" s="18" t="str"/>
    </x:row>
    <x:row r="102" ht="42" customHeight="1">
      <x:c r="A102" s="20" t="n">
        <x:v>98</x:v>
      </x:c>
      <x:c r="B102" s="18" t="str">
        <x:v>AmazingData 开发手册</x:v>
      </x:c>
      <x:c r="C102" s="18" t="str">
        <x:v>16–17</x:v>
      </x:c>
      <x:c r="D102" s="18" t="str">
        <x:v>基础数据</x:v>
      </x:c>
      <x:c r="E102" s="18" t="str">
        <x:v>InfoData.get_stock_basic(code_list)</x:v>
      </x:c>
      <x:c r="F102" s="18" t="str">
        <x:v>高层 wrapper；底层待取证</x:v>
      </x:c>
      <x:c r="G102" s="18" t="str">
        <x:v>互联网</x:v>
      </x:c>
      <x:c r="H102" s="18" t="str">
        <x:v>是</x:v>
      </x:c>
      <x:c r="I102" s="18" t="str">
        <x:v>低</x:v>
      </x:c>
      <x:c r="J102" s="18" t="str">
        <x:v>INVENTORIED</x:v>
      </x:c>
      <x:c r="K102" s="19" t="n">
        <x:f>IFERROR(VLOOKUP(J102,'状态字典'!$A$5:$B$16,2,FALSE),0)</x:f>
        <x:v>10</x:v>
      </x:c>
      <x:c r="L102" s="18" t="str"/>
      <x:c r="M102" s="18" t="str">
        <x:v>未执行</x:v>
      </x:c>
      <x:c r="N102" s="18" t="str">
        <x:v>—</x:v>
      </x:c>
      <x:c r="O102" s="18" t="str"/>
      <x:c r="P102" s="18" t="str">
        <x:v>待实现/复验</x:v>
      </x:c>
      <x:c r="Q102" s="18" t="str">
        <x:v>【推断】≈A010010001/3 组；INVENTORIED</x:v>
      </x:c>
      <x:c r="R102" s="18" t="str">
        <x:v>单代码；Linux oracle → wire → Mac → 同参</x:v>
      </x:c>
      <x:c r="S102" s="18" t="str">
        <x:v>codes</x:v>
      </x:c>
      <x:c r="T102" s="18" t="str">
        <x:v>df(MARKET_CODE…IS_LISTED)</x:v>
      </x:c>
      <x:c r="U102" s="18" t="str">
        <x:v>无</x:v>
      </x:c>
      <x:c r="V102" s="18" t="str">
        <x:v>docs/PDF_API_INVENTORY.md</x:v>
      </x:c>
      <x:c r="W102" s="18" t="str">
        <x:v>单代码</x:v>
      </x:c>
      <x:c r="X102" s="18" t="str">
        <x:v>—</x:v>
      </x:c>
      <x:c r="Y102" s="18" t="str"/>
    </x:row>
    <x:row r="103" ht="42" customHeight="1">
      <x:c r="A103" s="20" t="n">
        <x:v>99</x:v>
      </x:c>
      <x:c r="B103" s="18" t="str">
        <x:v>AmazingData 开发手册</x:v>
      </x:c>
      <x:c r="C103" s="18" t="str">
        <x:v>17–18</x:v>
      </x:c>
      <x:c r="D103" s="18" t="str">
        <x:v>基础数据</x:v>
      </x:c>
      <x:c r="E103" s="18" t="str">
        <x:v>get_history_stock_status(codes,local_path,is_local,begin,end)</x:v>
      </x:c>
      <x:c r="F103" s="18" t="str">
        <x:v>高层 wrapper；底层待取证</x:v>
      </x:c>
      <x:c r="G103" s="18" t="str">
        <x:v>互联网</x:v>
      </x:c>
      <x:c r="H103" s="18" t="str">
        <x:v>是</x:v>
      </x:c>
      <x:c r="I103" s="18" t="str">
        <x:v>低</x:v>
      </x:c>
      <x:c r="J103" s="18" t="str">
        <x:v>INVENTORIED</x:v>
      </x:c>
      <x:c r="K103" s="19" t="n">
        <x:f>IFERROR(VLOOKUP(J103,'状态字典'!$A$5:$B$16,2,FALSE),0)</x:f>
        <x:v>10</x:v>
      </x:c>
      <x:c r="L103" s="18" t="str"/>
      <x:c r="M103" s="18" t="str">
        <x:v>未执行</x:v>
      </x:c>
      <x:c r="N103" s="18" t="str">
        <x:v>—</x:v>
      </x:c>
      <x:c r="O103" s="18" t="str"/>
      <x:c r="P103" s="18" t="str">
        <x:v>待实现/复验</x:v>
      </x:c>
      <x:c r="Q103" s="18" t="str">
        <x:v>INVENTORIED</x:v>
      </x:c>
      <x:c r="R103" s="18" t="str">
        <x:v>单代码一月；Linux oracle → wire → Mac → 同参</x:v>
      </x:c>
      <x:c r="S103" s="18" t="str">
        <x:v>codes+区间/缓存</x:v>
      </x:c>
      <x:c r="T103" s="18" t="str">
        <x:v>df(PRECLOSE,HIGH/LOW_LIMITED,ST/停牌/除权除息标志…)</x:v>
      </x:c>
      <x:c r="U103" s="18" t="str">
        <x:v>无</x:v>
      </x:c>
      <x:c r="V103" s="18" t="str">
        <x:v>docs/PDF_API_INVENTORY.md</x:v>
      </x:c>
      <x:c r="W103" s="18" t="str">
        <x:v>单代码一月</x:v>
      </x:c>
      <x:c r="X103" s="18" t="str">
        <x:v>无 TGW 手册对应功能号，底层未知</x:v>
      </x:c>
      <x:c r="Y103" s="18" t="str"/>
    </x:row>
    <x:row r="104" ht="42" customHeight="1">
      <x:c r="A104" s="20" t="n">
        <x:v>100</x:v>
      </x:c>
      <x:c r="B104" s="18" t="str">
        <x:v>AmazingData 开发手册</x:v>
      </x:c>
      <x:c r="C104" s="18" t="str">
        <x:v>18–19</x:v>
      </x:c>
      <x:c r="D104" s="18" t="str">
        <x:v>基础数据</x:v>
      </x:c>
      <x:c r="E104" s="18" t="str">
        <x:v>get_bj_code_mapping(local_path,is_local)</x:v>
      </x:c>
      <x:c r="F104" s="18" t="str">
        <x:v>高层 wrapper；底层待取证</x:v>
      </x:c>
      <x:c r="G104" s="18" t="str">
        <x:v>互联网</x:v>
      </x:c>
      <x:c r="H104" s="18" t="str">
        <x:v>是</x:v>
      </x:c>
      <x:c r="I104" s="18" t="str">
        <x:v>低</x:v>
      </x:c>
      <x:c r="J104" s="18" t="str">
        <x:v>INVENTORIED</x:v>
      </x:c>
      <x:c r="K104" s="19" t="n">
        <x:f>IFERROR(VLOOKUP(J104,'状态字典'!$A$5:$B$16,2,FALSE),0)</x:f>
        <x:v>10</x:v>
      </x:c>
      <x:c r="L104" s="18" t="str"/>
      <x:c r="M104" s="18" t="str">
        <x:v>未执行</x:v>
      </x:c>
      <x:c r="N104" s="18" t="str">
        <x:v>—</x:v>
      </x:c>
      <x:c r="O104" s="18" t="str"/>
      <x:c r="P104" s="18" t="str">
        <x:v>待实现/复验</x:v>
      </x:c>
      <x:c r="Q104" s="18" t="str">
        <x:v>INVENTORIED</x:v>
      </x:c>
      <x:c r="R104" s="18" t="str">
        <x:v>全表一次；Linux oracle → wire → Mac → 同参</x:v>
      </x:c>
      <x:c r="S104" s="18" t="str">
        <x:v>缓存参数</x:v>
      </x:c>
      <x:c r="T104" s="18" t="str">
        <x:v>df(OLD_CODE,NEW_CODE,… )</x:v>
      </x:c>
      <x:c r="U104" s="18" t="str">
        <x:v>无</x:v>
      </x:c>
      <x:c r="V104" s="18" t="str">
        <x:v>docs/PDF_API_INVENTORY.md</x:v>
      </x:c>
      <x:c r="W104" s="18" t="str">
        <x:v>全表一次</x:v>
      </x:c>
      <x:c r="X104" s="18" t="str">
        <x:v>北交所新旧代码对照，底层未知</x:v>
      </x:c>
      <x:c r="Y104" s="18" t="str"/>
    </x:row>
    <x:row r="105" ht="42" customHeight="1">
      <x:c r="A105" s="20" t="n">
        <x:v>101</x:v>
      </x:c>
      <x:c r="B105" s="18" t="str">
        <x:v>AmazingData 开发手册</x:v>
      </x:c>
      <x:c r="C105" s="18" t="str">
        <x:v>19</x:v>
      </x:c>
      <x:c r="D105" s="18" t="str">
        <x:v>实时订阅</x:v>
      </x:c>
      <x:c r="E105" s="18" t="str">
        <x:v>@SubscribeData.register(period=snapshot)→onSnapshotindex</x:v>
      </x:c>
      <x:c r="F105" s="18" t="str">
        <x:v>高层 wrapper；底层待取证</x:v>
      </x:c>
      <x:c r="G105" s="18" t="str">
        <x:v>互联网</x:v>
      </x:c>
      <x:c r="H105" s="18" t="str">
        <x:v>否（待开盘）</x:v>
      </x:c>
      <x:c r="I105" s="18" t="str">
        <x:v>中</x:v>
      </x:c>
      <x:c r="J105" s="18" t="str">
        <x:v>INVENTORIED</x:v>
      </x:c>
      <x:c r="K105" s="19" t="n">
        <x:f>IFERROR(VLOOKUP(J105,'状态字典'!$A$5:$B$16,2,FALSE),0)</x:f>
        <x:v>10</x:v>
      </x:c>
      <x:c r="L105" s="18" t="str"/>
      <x:c r="M105" s="18" t="str">
        <x:v>未执行</x:v>
      </x:c>
      <x:c r="N105" s="18" t="str">
        <x:v>Period.snapshot</x:v>
      </x:c>
      <x:c r="O105" s="18" t="str"/>
      <x:c r="P105" s="18" t="str">
        <x:v>待实现/复验</x:v>
      </x:c>
      <x:c r="Q105" s="18" t="str">
        <x:v>【推断】≈flag 13；INVENTORIED</x:v>
      </x:c>
      <x:c r="R105" s="18" t="str">
        <x:v>指数 30 秒；Linux oracle → wire → Mac → 同参</x:v>
      </x:c>
      <x:c r="S105" s="18" t="str">
        <x:v>code_list(北/上/深指数)</x:v>
      </x:c>
      <x:c r="T105" s="18" t="str">
        <x:v>SnapshotIndex 对象</x:v>
      </x:c>
      <x:c r="U105" s="18" t="str">
        <x:v>装饰器回调</x:v>
      </x:c>
      <x:c r="V105" s="18" t="str">
        <x:v>docs/PDF_API_INVENTORY.md</x:v>
      </x:c>
      <x:c r="W105" s="18" t="str">
        <x:v>指数 30 秒</x:v>
      </x:c>
      <x:c r="X105" s="18" t="str">
        <x:v>指数 wire tag 未取证</x:v>
      </x:c>
      <x:c r="Y105" s="18" t="str"/>
    </x:row>
    <x:row r="106" ht="42" customHeight="1">
      <x:c r="A106" s="20" t="n">
        <x:v>102</x:v>
      </x:c>
      <x:c r="B106" s="18" t="str">
        <x:v>AmazingData 开发手册</x:v>
      </x:c>
      <x:c r="C106" s="18" t="str">
        <x:v>20</x:v>
      </x:c>
      <x:c r="D106" s="18" t="str">
        <x:v>实时订阅</x:v>
      </x:c>
      <x:c r="E106" s="18" t="str">
        <x:v>onSnapshot</x:v>
      </x:c>
      <x:c r="F106" s="18" t="str">
        <x:v>高层 wrapper；底层待取证</x:v>
      </x:c>
      <x:c r="G106" s="18" t="str">
        <x:v>互联网</x:v>
      </x:c>
      <x:c r="H106" s="18" t="str">
        <x:v>否（待开盘）</x:v>
      </x:c>
      <x:c r="I106" s="18" t="str">
        <x:v>中</x:v>
      </x:c>
      <x:c r="J106" s="18" t="str">
        <x:v>LIVE_ALIGNED</x:v>
      </x:c>
      <x:c r="K106" s="19" t="n">
        <x:f>IFERROR(VLOOKUP(J106,'状态字典'!$A$5:$B$16,2,FALSE),0)</x:f>
        <x:v>85</x:v>
      </x:c>
      <x:c r="L106" s="18" t="str">
        <x:v>2026-08-26</x:v>
      </x:c>
      <x:c r="M106" s="18" t="str">
        <x:v>已有脱敏证据；严格限于状态所述子范围</x:v>
      </x:c>
      <x:c r="N106" s="18" t="str">
        <x:v>Period.snapshot</x:v>
      </x:c>
      <x:c r="O106" s="18" t="str">
        <x:v>2026-08-26</x:v>
      </x:c>
      <x:c r="P106" s="18" t="str">
        <x:v>已有 Mac 子范围证据</x:v>
      </x:c>
      <x:c r="Q106" s="18" t="str">
        <x:v>【已证】raw 层 LIVE_ALIGNED(flag10)</x:v>
      </x:c>
      <x:c r="R106" s="18" t="str">
        <x:v>已有；Linux oracle → wire → Mac → 同参</x:v>
      </x:c>
      <x:c r="S106" s="18" t="str">
        <x:v>codes(北/上/深股票)</x:v>
      </x:c>
      <x:c r="T106" s="18" t="str">
        <x:v>Snapshot</x:v>
      </x:c>
      <x:c r="U106" s="18" t="str">
        <x:v>同上</x:v>
      </x:c>
      <x:c r="V106" s="18" t="str">
        <x:v>docs/PDF_API_INVENTORY.md</x:v>
      </x:c>
      <x:c r="W106" s="18" t="str">
        <x:v>已有</x:v>
      </x:c>
      <x:c r="X106" s="18" t="str">
        <x:v>类型化 Snapshot 对象未实现（数字 key）</x:v>
      </x:c>
      <x:c r="Y106" s="18" t="str"/>
    </x:row>
    <x:row r="107" ht="42" customHeight="1">
      <x:c r="A107" s="20" t="n">
        <x:v>103</x:v>
      </x:c>
      <x:c r="B107" s="18" t="str">
        <x:v>AmazingData 开发手册</x:v>
      </x:c>
      <x:c r="C107" s="18" t="str">
        <x:v>20–21</x:v>
      </x:c>
      <x:c r="D107" s="18" t="str">
        <x:v>实时订阅</x:v>
      </x:c>
      <x:c r="E107" s="18" t="str">
        <x:v>onSnapshotglra</x:v>
      </x:c>
      <x:c r="F107" s="18" t="str">
        <x:v>高层 wrapper；底层待取证</x:v>
      </x:c>
      <x:c r="G107" s="18" t="str">
        <x:v>互联网</x:v>
      </x:c>
      <x:c r="H107" s="18" t="str">
        <x:v>否（待开盘）</x:v>
      </x:c>
      <x:c r="I107" s="18" t="str">
        <x:v>中</x:v>
      </x:c>
      <x:c r="J107" s="18" t="str">
        <x:v>INVENTORIED</x:v>
      </x:c>
      <x:c r="K107" s="19" t="n">
        <x:f>IFERROR(VLOOKUP(J107,'状态字典'!$A$5:$B$16,2,FALSE),0)</x:f>
        <x:v>10</x:v>
      </x:c>
      <x:c r="L107" s="18" t="str"/>
      <x:c r="M107" s="18" t="str">
        <x:v>未执行</x:v>
      </x:c>
      <x:c r="N107" s="18" t="str">
        <x:v>Period.snapshot</x:v>
      </x:c>
      <x:c r="O107" s="18" t="str"/>
      <x:c r="P107" s="18" t="str">
        <x:v>待实现/复验</x:v>
      </x:c>
      <x:c r="Q107" s="18" t="str">
        <x:v>INVENTORIED</x:v>
      </x:c>
      <x:c r="R107" s="18" t="str">
        <x:v>R-001 30 秒；Linux oracle → wire → Mac → 同参</x:v>
      </x:c>
      <x:c r="S107" s="18" t="str">
        <x:v>逆回购 codes</x:v>
      </x:c>
      <x:c r="T107" s="18" t="str">
        <x:v>Snapshot</x:v>
      </x:c>
      <x:c r="U107" s="18" t="str">
        <x:v>同上</x:v>
      </x:c>
      <x:c r="V107" s="18" t="str">
        <x:v>docs/PDF_API_INVENTORY.md</x:v>
      </x:c>
      <x:c r="W107" s="18" t="str">
        <x:v>R-001 30 秒</x:v>
      </x:c>
      <x:c r="X107" s="18" t="str">
        <x:v>品种归类(category)未取证</x:v>
      </x:c>
      <x:c r="Y107" s="18" t="str"/>
    </x:row>
    <x:row r="108" ht="42" customHeight="1">
      <x:c r="A108" s="20" t="n">
        <x:v>104</x:v>
      </x:c>
      <x:c r="B108" s="18" t="str">
        <x:v>AmazingData 开发手册</x:v>
      </x:c>
      <x:c r="C108" s="18" t="str">
        <x:v>21–22</x:v>
      </x:c>
      <x:c r="D108" s="18" t="str">
        <x:v>实时订阅</x:v>
      </x:c>
      <x:c r="E108" s="18" t="str">
        <x:v>onSnapshotfuture</x:v>
      </x:c>
      <x:c r="F108" s="18" t="str">
        <x:v>高层 wrapper；底层待取证</x:v>
      </x:c>
      <x:c r="G108" s="18" t="str">
        <x:v>互联网</x:v>
      </x:c>
      <x:c r="H108" s="18" t="str">
        <x:v>否（待开盘）</x:v>
      </x:c>
      <x:c r="I108" s="18" t="str">
        <x:v>中</x:v>
      </x:c>
      <x:c r="J108" s="18" t="str">
        <x:v>INVENTORIED</x:v>
      </x:c>
      <x:c r="K108" s="19" t="n">
        <x:f>IFERROR(VLOOKUP(J108,'状态字典'!$A$5:$B$16,2,FALSE),0)</x:f>
        <x:v>10</x:v>
      </x:c>
      <x:c r="L108" s="18" t="str"/>
      <x:c r="M108" s="18" t="str">
        <x:v>未执行</x:v>
      </x:c>
      <x:c r="N108" s="18" t="str">
        <x:v>Period.snapshotfuture</x:v>
      </x:c>
      <x:c r="O108" s="18" t="str"/>
      <x:c r="P108" s="18" t="str">
        <x:v>待实现/复验</x:v>
      </x:c>
      <x:c r="Q108" s="18" t="str">
        <x:v>【推断】≈flag 20；INVENTORIED</x:v>
      </x:c>
      <x:c r="R108" s="18" t="str">
        <x:v>IF 主力 30 秒；Linux oracle → wire → Mac → 同参</x:v>
      </x:c>
      <x:c r="S108" s="18" t="str">
        <x:v>中金所 codes</x:v>
      </x:c>
      <x:c r="T108" s="18" t="str">
        <x:v>SnapshotFuture</x:v>
      </x:c>
      <x:c r="U108" s="18" t="str">
        <x:v>同上</x:v>
      </x:c>
      <x:c r="V108" s="18" t="str">
        <x:v>docs/PDF_API_INVENTORY.md</x:v>
      </x:c>
      <x:c r="W108" s="18" t="str">
        <x:v>IF 主力 30 秒</x:v>
      </x:c>
      <x:c r="X108" s="18" t="str">
        <x:v>期货权限未知</x:v>
      </x:c>
      <x:c r="Y108" s="18" t="str"/>
    </x:row>
    <x:row r="109" ht="42" customHeight="1">
      <x:c r="A109" s="20" t="n">
        <x:v>105</x:v>
      </x:c>
      <x:c r="B109" s="18" t="str">
        <x:v>AmazingData 开发手册</x:v>
      </x:c>
      <x:c r="C109" s="18" t="str">
        <x:v>22</x:v>
      </x:c>
      <x:c r="D109" s="18" t="str">
        <x:v>实时订阅</x:v>
      </x:c>
      <x:c r="E109" s="18" t="str">
        <x:v>onSnapshotetf</x:v>
      </x:c>
      <x:c r="F109" s="18" t="str">
        <x:v>高层 wrapper；底层待取证</x:v>
      </x:c>
      <x:c r="G109" s="18" t="str">
        <x:v>互联网</x:v>
      </x:c>
      <x:c r="H109" s="18" t="str">
        <x:v>否（待开盘）</x:v>
      </x:c>
      <x:c r="I109" s="18" t="str">
        <x:v>中</x:v>
      </x:c>
      <x:c r="J109" s="18" t="str">
        <x:v>INVENTORIED</x:v>
      </x:c>
      <x:c r="K109" s="19" t="n">
        <x:f>IFERROR(VLOOKUP(J109,'状态字典'!$A$5:$B$16,2,FALSE),0)</x:f>
        <x:v>10</x:v>
      </x:c>
      <x:c r="L109" s="18" t="str"/>
      <x:c r="M109" s="18" t="str">
        <x:v>未执行</x:v>
      </x:c>
      <x:c r="N109" s="18" t="str">
        <x:v>Period.snapshot</x:v>
      </x:c>
      <x:c r="O109" s="18" t="str"/>
      <x:c r="P109" s="18" t="str">
        <x:v>待实现/复验</x:v>
      </x:c>
      <x:c r="Q109" s="18" t="str">
        <x:v>【已证】raw 层同 #102</x:v>
      </x:c>
      <x:c r="R109" s="18" t="str">
        <x:v>已有 159518；Linux oracle → wire → Mac → 同参</x:v>
      </x:c>
      <x:c r="S109" s="18" t="str">
        <x:v>ETF codes</x:v>
      </x:c>
      <x:c r="T109" s="18" t="str">
        <x:v>Snapshot</x:v>
      </x:c>
      <x:c r="U109" s="18" t="str">
        <x:v>同上</x:v>
      </x:c>
      <x:c r="V109" s="18" t="str">
        <x:v>docs/PDF_API_INVENTORY.md</x:v>
      </x:c>
      <x:c r="W109" s="18" t="str">
        <x:v>已有 159518</x:v>
      </x:c>
      <x:c r="X109" s="18" t="str">
        <x:v>—</x:v>
      </x:c>
      <x:c r="Y109" s="18" t="str"/>
    </x:row>
    <x:row r="110" ht="42" customHeight="1">
      <x:c r="A110" s="20" t="n">
        <x:v>106</x:v>
      </x:c>
      <x:c r="B110" s="18" t="str">
        <x:v>AmazingData 开发手册</x:v>
      </x:c>
      <x:c r="C110" s="18" t="str">
        <x:v>22–23</x:v>
      </x:c>
      <x:c r="D110" s="18" t="str">
        <x:v>实时订阅</x:v>
      </x:c>
      <x:c r="E110" s="18" t="str">
        <x:v>onSnapshotkzz</x:v>
      </x:c>
      <x:c r="F110" s="18" t="str">
        <x:v>高层 wrapper；底层待取证</x:v>
      </x:c>
      <x:c r="G110" s="18" t="str">
        <x:v>互联网</x:v>
      </x:c>
      <x:c r="H110" s="18" t="str">
        <x:v>否（待开盘）</x:v>
      </x:c>
      <x:c r="I110" s="18" t="str">
        <x:v>中</x:v>
      </x:c>
      <x:c r="J110" s="18" t="str">
        <x:v>INVENTORIED</x:v>
      </x:c>
      <x:c r="K110" s="19" t="n">
        <x:f>IFERROR(VLOOKUP(J110,'状态字典'!$A$5:$B$16,2,FALSE),0)</x:f>
        <x:v>10</x:v>
      </x:c>
      <x:c r="L110" s="18" t="str"/>
      <x:c r="M110" s="18" t="str">
        <x:v>未执行</x:v>
      </x:c>
      <x:c r="N110" s="18" t="str">
        <x:v>Period.snapshot</x:v>
      </x:c>
      <x:c r="O110" s="18" t="str"/>
      <x:c r="P110" s="18" t="str">
        <x:v>待实现/复验</x:v>
      </x:c>
      <x:c r="Q110" s="18" t="str">
        <x:v>INVENTORIED</x:v>
      </x:c>
      <x:c r="R110" s="18" t="str">
        <x:v>单转债 30 秒；Linux oracle → wire → Mac → 同参</x:v>
      </x:c>
      <x:c r="S110" s="18" t="str">
        <x:v>可转债 codes</x:v>
      </x:c>
      <x:c r="T110" s="18" t="str">
        <x:v>Snapshot</x:v>
      </x:c>
      <x:c r="U110" s="18" t="str">
        <x:v>同上</x:v>
      </x:c>
      <x:c r="V110" s="18" t="str">
        <x:v>docs/PDF_API_INVENTORY.md</x:v>
      </x:c>
      <x:c r="W110" s="18" t="str">
        <x:v>单转债 30 秒</x:v>
      </x:c>
      <x:c r="X110" s="18" t="str">
        <x:v>—</x:v>
      </x:c>
      <x:c r="Y110" s="18" t="str"/>
    </x:row>
    <x:row r="111" ht="42" customHeight="1">
      <x:c r="A111" s="20" t="n">
        <x:v>107</x:v>
      </x:c>
      <x:c r="B111" s="18" t="str">
        <x:v>AmazingData 开发手册</x:v>
      </x:c>
      <x:c r="C111" s="18" t="str">
        <x:v>23</x:v>
      </x:c>
      <x:c r="D111" s="18" t="str">
        <x:v>实时订阅</x:v>
      </x:c>
      <x:c r="E111" s="18" t="str">
        <x:v>onSnapshothkt</x:v>
      </x:c>
      <x:c r="F111" s="18" t="str">
        <x:v>24 页示例）</x:v>
      </x:c>
      <x:c r="G111" s="18" t="str">
        <x:v>互联网</x:v>
      </x:c>
      <x:c r="H111" s="18" t="str">
        <x:v>否（待开盘）</x:v>
      </x:c>
      <x:c r="I111" s="18" t="str">
        <x:v>中</x:v>
      </x:c>
      <x:c r="J111" s="18" t="str">
        <x:v>LIVE_ALIGNED</x:v>
      </x:c>
      <x:c r="K111" s="19" t="n">
        <x:f>IFERROR(VLOOKUP(J111,'状态字典'!$A$5:$B$16,2,FALSE),0)</x:f>
        <x:v>85</x:v>
      </x:c>
      <x:c r="L111" s="18" t="str">
        <x:v>2026-08-26</x:v>
      </x:c>
      <x:c r="M111" s="18" t="str">
        <x:v>已有脱敏证据；严格限于状态所述子范围</x:v>
      </x:c>
      <x:c r="N111" s="18" t="str">
        <x:v>Period.snapshotHKT</x:v>
      </x:c>
      <x:c r="O111" s="18" t="str">
        <x:v>2026-08-26</x:v>
      </x:c>
      <x:c r="P111" s="18" t="str">
        <x:v>已有 Mac 子范围证据</x:v>
      </x:c>
      <x:c r="Q111" s="18" t="str">
        <x:v>【已证】raw 层 LIVE_ALIGNED(flag12; SH route)</x:v>
      </x:c>
      <x:c r="R111" s="18" t="str">
        <x:v>已有 02800.SH；Linux oracle → wire → Mac → 同参</x:v>
      </x:c>
      <x:c r="S111" s="18" t="str">
        <x:v>HKT codes</x:v>
      </x:c>
      <x:c r="T111" s="18" t="str">
        <x:v>SnapshotHKT</x:v>
      </x:c>
      <x:c r="U111" s="18" t="str">
        <x:v>同上</x:v>
      </x:c>
      <x:c r="V111" s="18" t="str">
        <x:v>docs/PDF_API_INVENTORY.md</x:v>
      </x:c>
      <x:c r="W111" s="18" t="str">
        <x:v>已有 02800.SH</x:v>
      </x:c>
      <x:c r="X111" s="18" t="str">
        <x:v>.SZ 未验；示例代码存在 period 写成 snapshot 的文档笔误（PDF 24 页示例）</x:v>
      </x:c>
      <x:c r="Y111" s="18" t="str"/>
    </x:row>
    <x:row r="112" ht="42" customHeight="1">
      <x:c r="A112" s="20" t="n">
        <x:v>108</x:v>
      </x:c>
      <x:c r="B112" s="18" t="str">
        <x:v>AmazingData 开发手册</x:v>
      </x:c>
      <x:c r="C112" s="18" t="str">
        <x:v>24</x:v>
      </x:c>
      <x:c r="D112" s="18" t="str">
        <x:v>实时订阅</x:v>
      </x:c>
      <x:c r="E112" s="18" t="str">
        <x:v>onSnapshotoption</x:v>
      </x:c>
      <x:c r="F112" s="18" t="str">
        <x:v>高层 wrapper；底层待取证</x:v>
      </x:c>
      <x:c r="G112" s="18" t="str">
        <x:v>互联网</x:v>
      </x:c>
      <x:c r="H112" s="18" t="str">
        <x:v>否（待开盘）</x:v>
      </x:c>
      <x:c r="I112" s="18" t="str">
        <x:v>中</x:v>
      </x:c>
      <x:c r="J112" s="18" t="str">
        <x:v>INVENTORIED</x:v>
      </x:c>
      <x:c r="K112" s="19" t="n">
        <x:f>IFERROR(VLOOKUP(J112,'状态字典'!$A$5:$B$16,2,FALSE),0)</x:f>
        <x:v>10</x:v>
      </x:c>
      <x:c r="L112" s="18" t="str"/>
      <x:c r="M112" s="18" t="str">
        <x:v>未执行</x:v>
      </x:c>
      <x:c r="N112" s="18" t="str">
        <x:v>Period.snapshotoption</x:v>
      </x:c>
      <x:c r="O112" s="18" t="str"/>
      <x:c r="P112" s="18" t="str">
        <x:v>待实现/复验</x:v>
      </x:c>
      <x:c r="Q112" s="18" t="str">
        <x:v>【推断】≈flag 11；INVENTORIED</x:v>
      </x:c>
      <x:c r="R112" s="18" t="str">
        <x:v>期权主力 30 秒；Linux oracle → wire → Mac → 同参</x:v>
      </x:c>
      <x:c r="S112" s="18" t="str">
        <x:v>ETF 期权 codes</x:v>
      </x:c>
      <x:c r="T112" s="18" t="str">
        <x:v>SnapshotOption</x:v>
      </x:c>
      <x:c r="U112" s="18" t="str">
        <x:v>同上</x:v>
      </x:c>
      <x:c r="V112" s="18" t="str">
        <x:v>docs/PDF_API_INVENTORY.md</x:v>
      </x:c>
      <x:c r="W112" s="18" t="str">
        <x:v>期权主力 30 秒</x:v>
      </x:c>
      <x:c r="X112" s="18" t="str">
        <x:v>—</x:v>
      </x:c>
      <x:c r="Y112" s="18" t="str"/>
    </x:row>
    <x:row r="113" ht="42" customHeight="1">
      <x:c r="A113" s="20" t="n">
        <x:v>109</x:v>
      </x:c>
      <x:c r="B113" s="18" t="str">
        <x:v>AmazingData 开发手册</x:v>
      </x:c>
      <x:c r="C113" s="18" t="str">
        <x:v>24–25</x:v>
      </x:c>
      <x:c r="D113" s="18" t="str">
        <x:v>实时订阅</x:v>
      </x:c>
      <x:c r="E113" s="18" t="str">
        <x:v>OnKLine(实时 K 线注册)</x:v>
      </x:c>
      <x:c r="F113" s="18" t="str">
        <x:v>高层 wrapper；底层待取证</x:v>
      </x:c>
      <x:c r="G113" s="18" t="str">
        <x:v>互联网</x:v>
      </x:c>
      <x:c r="H113" s="18" t="str">
        <x:v>否（待开盘）</x:v>
      </x:c>
      <x:c r="I113" s="18" t="str">
        <x:v>中</x:v>
      </x:c>
      <x:c r="J113" s="18" t="str">
        <x:v>INVENTORIED</x:v>
      </x:c>
      <x:c r="K113" s="19" t="n">
        <x:f>IFERROR(VLOOKUP(J113,'状态字典'!$A$5:$B$16,2,FALSE),0)</x:f>
        <x:v>10</x:v>
      </x:c>
      <x:c r="L113" s="18" t="str"/>
      <x:c r="M113" s="18" t="str">
        <x:v>未执行</x:v>
      </x:c>
      <x:c r="N113" s="18" t="str">
        <x:v>Period 1..120min/日…年</x:v>
      </x:c>
      <x:c r="O113" s="18" t="str"/>
      <x:c r="P113" s="18" t="str">
        <x:v>待实现/复验</x:v>
      </x:c>
      <x:c r="Q113" s="18" t="str">
        <x:v>【推断】≈flag 1..8；INVENTORIED</x:v>
      </x:c>
      <x:c r="R113" s="18" t="str">
        <x:v>min1 单代码 5 分钟；Linux oracle → wire → Mac → 同参</x:v>
      </x:c>
      <x:c r="S113" s="18" t="str">
        <x:v>codes+Period.min1 等</x:v>
      </x:c>
      <x:c r="T113" s="18" t="str">
        <x:v>Kline</x:v>
      </x:c>
      <x:c r="U113" s="18" t="str">
        <x:v>同上</x:v>
      </x:c>
      <x:c r="V113" s="18" t="str">
        <x:v>docs/PDF_API_INVENTORY.md</x:v>
      </x:c>
      <x:c r="W113" s="18" t="str">
        <x:v>min1 单代码 5 分钟</x:v>
      </x:c>
      <x:c r="X113" s="18" t="str">
        <x:v>分钟线 wire 映射未取证</x:v>
      </x:c>
      <x:c r="Y113" s="18" t="str"/>
    </x:row>
    <x:row r="114" ht="42" customHeight="1">
      <x:c r="A114" s="20" t="n">
        <x:v>110</x:v>
      </x:c>
      <x:c r="B114" s="18" t="str">
        <x:v>AmazingData 开发手册</x:v>
      </x:c>
      <x:c r="C114" s="18" t="str">
        <x:v>25–26</x:v>
      </x:c>
      <x:c r="D114" s="18" t="str">
        <x:v>历史行情</x:v>
      </x:c>
      <x:c r="E114" s="18" t="str">
        <x:v>MarketData.query_snapshot(codes,begin,end,begin_time,end_time)</x:v>
      </x:c>
      <x:c r="F114" s="18" t="str">
        <x:v>高层 wrapper；底层待取证</x:v>
      </x:c>
      <x:c r="G114" s="18" t="str">
        <x:v>互联网</x:v>
      </x:c>
      <x:c r="H114" s="18" t="str">
        <x:v>是</x:v>
      </x:c>
      <x:c r="I114" s="18" t="str">
        <x:v>低</x:v>
      </x:c>
      <x:c r="J114" s="18" t="str">
        <x:v>CHANGES_REQUESTED</x:v>
      </x:c>
      <x:c r="K114" s="19" t="n">
        <x:f>IFERROR(VLOOKUP(J114,'状态字典'!$A$5:$B$16,2,FALSE),0)</x:f>
        <x:v>45</x:v>
      </x:c>
      <x:c r="L114" s="18" t="str"/>
      <x:c r="M114" s="18" t="str">
        <x:v>未执行</x:v>
      </x:c>
      <x:c r="N114" s="18" t="str">
        <x:v>时间 8/9 位整型</x:v>
      </x:c>
      <x:c r="O114" s="18" t="str">
        <x:v>2026-08-26</x:v>
      </x:c>
      <x:c r="P114" s="18" t="str">
        <x:v>待实现/复验</x:v>
      </x:c>
      <x:c r="Q114" s="18" t="str">
        <x:v>【已证】协议层同参（tag 11000）；AD 合约 CHANGES_REQUESTED</x:v>
      </x:c>
      <x:c r="R114" s="18" t="str">
        <x:v>已有 SZSE 单日；Linux oracle → wire → Mac → 同参</x:v>
      </x:c>
      <x:c r="S114" s="18" t="str">
        <x:v>codes+8位日期+HHmmssSSS 时间戳</x:v>
      </x:c>
      <x:c r="T114" s="18" t="str">
        <x:v>dict{code:df(Snapshot 族,index=datetime)}</x:v>
      </x:c>
      <x:c r="U114" s="18" t="str">
        <x:v>无</x:v>
      </x:c>
      <x:c r="V114" s="18" t="str">
        <x:v>docs/PDF_API_INVENTORY.md</x:v>
      </x:c>
      <x:c r="W114" s="18" t="str">
        <x:v>已有 SZSE 单日</x:v>
      </x:c>
      <x:c r="X114" s="18" t="str">
        <x:v>AD 层 dict-of-df 封装未验收</x:v>
      </x:c>
      <x:c r="Y114" s="18" t="str"/>
    </x:row>
    <x:row r="115" ht="42" customHeight="1">
      <x:c r="A115" s="20" t="n">
        <x:v>111</x:v>
      </x:c>
      <x:c r="B115" s="18" t="str">
        <x:v>AmazingData 开发手册</x:v>
      </x:c>
      <x:c r="C115" s="18" t="str">
        <x:v>26–27</x:v>
      </x:c>
      <x:c r="D115" s="18" t="str">
        <x:v>历史行情</x:v>
      </x:c>
      <x:c r="E115" s="18" t="str">
        <x:v>query_kline(codes,begin,end,period,begin_time,end_time)</x:v>
      </x:c>
      <x:c r="F115" s="18" t="str">
        <x:v>高层 wrapper；底层待取证</x:v>
      </x:c>
      <x:c r="G115" s="18" t="str">
        <x:v>互联网</x:v>
      </x:c>
      <x:c r="H115" s="18" t="str">
        <x:v>是</x:v>
      </x:c>
      <x:c r="I115" s="18" t="str">
        <x:v>低</x:v>
      </x:c>
      <x:c r="J115" s="18" t="str">
        <x:v>LIVE_ALIGNED</x:v>
      </x:c>
      <x:c r="K115" s="19" t="n">
        <x:f>IFERROR(VLOOKUP(J115,'状态字典'!$A$5:$B$16,2,FALSE),0)</x:f>
        <x:v>85</x:v>
      </x:c>
      <x:c r="L115" s="18" t="str">
        <x:v>2026-08-26</x:v>
      </x:c>
      <x:c r="M115" s="18" t="str">
        <x:v>已有脱敏证据；严格限于状态所述子范围</x:v>
      </x:c>
      <x:c r="N115" s="18" t="str">
        <x:v>Period 附录</x:v>
      </x:c>
      <x:c r="O115" s="18" t="str">
        <x:v>2026-08-26</x:v>
      </x:c>
      <x:c r="P115" s="18" t="str">
        <x:v>已有 Mac 子范围证据</x:v>
      </x:c>
      <x:c r="Q115" s="18" t="str">
        <x:v>【已证】底层日线+周线+月线 LIVE_ALIGNED；AD 高层 wrapper INVENTORIED</x:v>
      </x:c>
      <x:c r="R115" s="18" t="str">
        <x:v>已有底层证据；Linux oracle → wire → Mac → 同参</x:v>
      </x:c>
      <x:c r="S115" s="18" t="str">
        <x:v>codes+period+时分(3/4位)</x:v>
      </x:c>
      <x:c r="T115" s="18" t="str">
        <x:v>dict{code:df(Kline)}</x:v>
      </x:c>
      <x:c r="U115" s="18" t="str">
        <x:v>无</x:v>
      </x:c>
      <x:c r="V115" s="18" t="str">
        <x:v>docs/PDF_API_INVENTORY.md</x:v>
      </x:c>
      <x:c r="W115" s="18" t="str">
        <x:v>已有底层证据</x:v>
      </x:c>
      <x:c r="X115" s="18" t="str">
        <x:v>AD 的 dict-of-DataFrame 封装与 Period 到 TGW 周期映射仍未验；不能由底层取值反推高层已完成</x:v>
      </x:c>
      <x:c r="Y115" s="18" t="str"/>
    </x:row>
    <x:row r="116" ht="42" customHeight="1">
      <x:c r="A116" s="20" t="n">
        <x:v>112</x:v>
      </x:c>
      <x:c r="B116" s="18" t="str">
        <x:v>AmazingData 开发手册</x:v>
      </x:c>
      <x:c r="C116" s="18" t="str">
        <x:v>27</x:v>
      </x:c>
      <x:c r="D116" s="18" t="str">
        <x:v>财务</x:v>
      </x:c>
      <x:c r="E116" s="18" t="str">
        <x:v>get_balance_sheet(codes,local_path,is_local,begin,end)</x:v>
      </x:c>
      <x:c r="F116" s="18" t="str">
        <x:v>1..91 枚举庞大</x:v>
      </x:c>
      <x:c r="G116" s="18" t="str">
        <x:v>互联网</x:v>
      </x:c>
      <x:c r="H116" s="18" t="str">
        <x:v>是</x:v>
      </x:c>
      <x:c r="I116" s="18" t="str">
        <x:v>低</x:v>
      </x:c>
      <x:c r="J116" s="18" t="str">
        <x:v>INVENTORIED</x:v>
      </x:c>
      <x:c r="K116" s="19" t="n">
        <x:f>IFERROR(VLOOKUP(J116,'状态字典'!$A$5:$B$16,2,FALSE),0)</x:f>
        <x:v>10</x:v>
      </x:c>
      <x:c r="L116" s="18" t="str"/>
      <x:c r="M116" s="18" t="str">
        <x:v>未执行</x:v>
      </x:c>
      <x:c r="N116" s="18" t="str">
        <x:v>REPORT_TYPE/STATEMENT_TYPE 附录</x:v>
      </x:c>
      <x:c r="O116" s="18" t="str"/>
      <x:c r="P116" s="18" t="str">
        <x:v>待实现/复验</x:v>
      </x:c>
      <x:c r="Q116" s="18" t="str">
        <x:v>【推断】≈A010050001；INVENTORIED</x:v>
      </x:c>
      <x:c r="R116" s="18" t="str">
        <x:v>单代码单报告期 shape；Linux oracle → wire → Mac → 同参</x:v>
      </x:c>
      <x:c r="S116" s="18" t="str">
        <x:v>codes+缓存组</x:v>
      </x:c>
      <x:c r="T116" s="18" t="str">
        <x:v>dict{code:df(百列级)}</x:v>
      </x:c>
      <x:c r="U116" s="18" t="str">
        <x:v>无</x:v>
      </x:c>
      <x:c r="V116" s="18" t="str">
        <x:v>docs/PDF_API_INVENTORY.md</x:v>
      </x:c>
      <x:c r="W116" s="18" t="str">
        <x:v>单代码单报告期 shape</x:v>
      </x:c>
      <x:c r="X116" s="18" t="str">
        <x:v>报表类型 1..91 枚举庞大，先 shape 后字段</x:v>
      </x:c>
      <x:c r="Y116" s="18" t="str"/>
    </x:row>
    <x:row r="117" ht="42" customHeight="1">
      <x:c r="A117" s="20" t="n">
        <x:v>113</x:v>
      </x:c>
      <x:c r="B117" s="18" t="str">
        <x:v>AmazingData 开发手册</x:v>
      </x:c>
      <x:c r="C117" s="18" t="str">
        <x:v>36</x:v>
      </x:c>
      <x:c r="D117" s="18" t="str">
        <x:v>财务</x:v>
      </x:c>
      <x:c r="E117" s="18" t="str">
        <x:v>get_cash_flow(...)</x:v>
      </x:c>
      <x:c r="F117" s="18" t="str">
        <x:v>高层 wrapper；底层待取证</x:v>
      </x:c>
      <x:c r="G117" s="18" t="str">
        <x:v>互联网</x:v>
      </x:c>
      <x:c r="H117" s="18" t="str">
        <x:v>是</x:v>
      </x:c>
      <x:c r="I117" s="18" t="str">
        <x:v>低</x:v>
      </x:c>
      <x:c r="J117" s="18" t="str">
        <x:v>INVENTORIED</x:v>
      </x:c>
      <x:c r="K117" s="19" t="n">
        <x:f>IFERROR(VLOOKUP(J117,'状态字典'!$A$5:$B$16,2,FALSE),0)</x:f>
        <x:v>10</x:v>
      </x:c>
      <x:c r="L117" s="18" t="str"/>
      <x:c r="M117" s="18" t="str">
        <x:v>未执行</x:v>
      </x:c>
      <x:c r="N117" s="18" t="str">
        <x:v>同上</x:v>
      </x:c>
      <x:c r="O117" s="18" t="str"/>
      <x:c r="P117" s="18" t="str">
        <x:v>待实现/复验</x:v>
      </x:c>
      <x:c r="Q117" s="18" t="str">
        <x:v>【推断】≈A010050003；INVENTORIED</x:v>
      </x:c>
      <x:c r="R117" s="18" t="str">
        <x:v>同上；Linux oracle → wire → Mac → 同参</x:v>
      </x:c>
      <x:c r="S117" s="18" t="str">
        <x:v>同上</x:v>
      </x:c>
      <x:c r="T117" s="18" t="str">
        <x:v>dict{code:df}</x:v>
      </x:c>
      <x:c r="U117" s="18" t="str">
        <x:v>无</x:v>
      </x:c>
      <x:c r="V117" s="18" t="str">
        <x:v>docs/PDF_API_INVENTORY.md</x:v>
      </x:c>
      <x:c r="W117" s="18" t="str">
        <x:v>同上</x:v>
      </x:c>
      <x:c r="X117" s="18" t="str">
        <x:v>—</x:v>
      </x:c>
      <x:c r="Y117" s="18" t="str"/>
    </x:row>
    <x:row r="118" ht="42" customHeight="1">
      <x:c r="A118" s="20" t="n">
        <x:v>114</x:v>
      </x:c>
      <x:c r="B118" s="18" t="str">
        <x:v>AmazingData 开发手册</x:v>
      </x:c>
      <x:c r="C118" s="18" t="str">
        <x:v>45</x:v>
      </x:c>
      <x:c r="D118" s="18" t="str">
        <x:v>财务</x:v>
      </x:c>
      <x:c r="E118" s="18" t="str">
        <x:v>get_income(...)</x:v>
      </x:c>
      <x:c r="F118" s="18" t="str">
        <x:v>高层 wrapper；底层待取证</x:v>
      </x:c>
      <x:c r="G118" s="18" t="str">
        <x:v>互联网</x:v>
      </x:c>
      <x:c r="H118" s="18" t="str">
        <x:v>是</x:v>
      </x:c>
      <x:c r="I118" s="18" t="str">
        <x:v>低</x:v>
      </x:c>
      <x:c r="J118" s="18" t="str">
        <x:v>INVENTORIED</x:v>
      </x:c>
      <x:c r="K118" s="19" t="n">
        <x:f>IFERROR(VLOOKUP(J118,'状态字典'!$A$5:$B$16,2,FALSE),0)</x:f>
        <x:v>10</x:v>
      </x:c>
      <x:c r="L118" s="18" t="str"/>
      <x:c r="M118" s="18" t="str">
        <x:v>未执行</x:v>
      </x:c>
      <x:c r="N118" s="18" t="str">
        <x:v>同上</x:v>
      </x:c>
      <x:c r="O118" s="18" t="str"/>
      <x:c r="P118" s="18" t="str">
        <x:v>待实现/复验</x:v>
      </x:c>
      <x:c r="Q118" s="18" t="str">
        <x:v>【推断】≈A010050002；INVENTORIED</x:v>
      </x:c>
      <x:c r="R118" s="18" t="str">
        <x:v>同上；Linux oracle → wire → Mac → 同参</x:v>
      </x:c>
      <x:c r="S118" s="18" t="str">
        <x:v>同上</x:v>
      </x:c>
      <x:c r="T118" s="18" t="str">
        <x:v>dict{code:df}</x:v>
      </x:c>
      <x:c r="U118" s="18" t="str">
        <x:v>无</x:v>
      </x:c>
      <x:c r="V118" s="18" t="str">
        <x:v>docs/PDF_API_INVENTORY.md</x:v>
      </x:c>
      <x:c r="W118" s="18" t="str">
        <x:v>同上</x:v>
      </x:c>
      <x:c r="X118" s="18" t="str">
        <x:v>—</x:v>
      </x:c>
      <x:c r="Y118" s="18" t="str"/>
    </x:row>
    <x:row r="119" ht="42" customHeight="1">
      <x:c r="A119" s="20" t="n">
        <x:v>115</x:v>
      </x:c>
      <x:c r="B119" s="18" t="str">
        <x:v>AmazingData 开发手册</x:v>
      </x:c>
      <x:c r="C119" s="18" t="str">
        <x:v>52</x:v>
      </x:c>
      <x:c r="D119" s="18" t="str">
        <x:v>财务</x:v>
      </x:c>
      <x:c r="E119" s="18" t="str">
        <x:v>get_profit_express(...)</x:v>
      </x:c>
      <x:c r="F119" s="18" t="str">
        <x:v>7章无对应功能号</x:v>
      </x:c>
      <x:c r="G119" s="18" t="str">
        <x:v>互联网</x:v>
      </x:c>
      <x:c r="H119" s="18" t="str">
        <x:v>是</x:v>
      </x:c>
      <x:c r="I119" s="18" t="str">
        <x:v>低</x:v>
      </x:c>
      <x:c r="J119" s="18" t="str">
        <x:v>INVENTORIED</x:v>
      </x:c>
      <x:c r="K119" s="19" t="n">
        <x:f>IFERROR(VLOOKUP(J119,'状态字典'!$A$5:$B$16,2,FALSE),0)</x:f>
        <x:v>10</x:v>
      </x:c>
      <x:c r="L119" s="18" t="str"/>
      <x:c r="M119" s="18" t="str">
        <x:v>未执行</x:v>
      </x:c>
      <x:c r="N119" s="18" t="str">
        <x:v>—</x:v>
      </x:c>
      <x:c r="O119" s="18" t="str"/>
      <x:c r="P119" s="18" t="str">
        <x:v>待实现/复验</x:v>
      </x:c>
      <x:c r="Q119" s="18" t="str">
        <x:v>INVENTORIED</x:v>
      </x:c>
      <x:c r="R119" s="18" t="str">
        <x:v>单代码；Linux oracle → wire → Mac → 同参</x:v>
      </x:c>
      <x:c r="S119" s="18" t="str">
        <x:v>同上</x:v>
      </x:c>
      <x:c r="T119" s="18" t="str">
        <x:v>df</x:v>
      </x:c>
      <x:c r="U119" s="18" t="str">
        <x:v>无</x:v>
      </x:c>
      <x:c r="V119" s="18" t="str">
        <x:v>docs/PDF_API_INVENTORY.md</x:v>
      </x:c>
      <x:c r="W119" s="18" t="str">
        <x:v>单代码</x:v>
      </x:c>
      <x:c r="X119" s="18" t="str">
        <x:v>业绩快报在 TGW 第7章无对应功能号</x:v>
      </x:c>
      <x:c r="Y119" s="18" t="str"/>
    </x:row>
    <x:row r="120" ht="42" customHeight="1">
      <x:c r="A120" s="20" t="n">
        <x:v>116</x:v>
      </x:c>
      <x:c r="B120" s="18" t="str">
        <x:v>AmazingData 开发手册</x:v>
      </x:c>
      <x:c r="C120" s="18" t="str">
        <x:v>55</x:v>
      </x:c>
      <x:c r="D120" s="18" t="str">
        <x:v>财务</x:v>
      </x:c>
      <x:c r="E120" s="18" t="str">
        <x:v>get_profit_notice(...)</x:v>
      </x:c>
      <x:c r="F120" s="18" t="str">
        <x:v>高层 wrapper；底层待取证</x:v>
      </x:c>
      <x:c r="G120" s="18" t="str">
        <x:v>互联网</x:v>
      </x:c>
      <x:c r="H120" s="18" t="str">
        <x:v>是</x:v>
      </x:c>
      <x:c r="I120" s="18" t="str">
        <x:v>低</x:v>
      </x:c>
      <x:c r="J120" s="18" t="str">
        <x:v>INVENTORIED</x:v>
      </x:c>
      <x:c r="K120" s="19" t="n">
        <x:f>IFERROR(VLOOKUP(J120,'状态字典'!$A$5:$B$16,2,FALSE),0)</x:f>
        <x:v>10</x:v>
      </x:c>
      <x:c r="L120" s="18" t="str"/>
      <x:c r="M120" s="18" t="str">
        <x:v>未执行</x:v>
      </x:c>
      <x:c r="N120" s="18" t="str">
        <x:v>—</x:v>
      </x:c>
      <x:c r="O120" s="18" t="str"/>
      <x:c r="P120" s="18" t="str">
        <x:v>待实现/复验</x:v>
      </x:c>
      <x:c r="Q120" s="18" t="str">
        <x:v>【推断】≈A010050005；INVENTORIED</x:v>
      </x:c>
      <x:c r="R120" s="18" t="str">
        <x:v>单代码；Linux oracle → wire → Mac → 同参</x:v>
      </x:c>
      <x:c r="S120" s="18" t="str">
        <x:v>同上</x:v>
      </x:c>
      <x:c r="T120" s="18" t="str">
        <x:v>df</x:v>
      </x:c>
      <x:c r="U120" s="18" t="str">
        <x:v>无</x:v>
      </x:c>
      <x:c r="V120" s="18" t="str">
        <x:v>docs/PDF_API_INVENTORY.md</x:v>
      </x:c>
      <x:c r="W120" s="18" t="str">
        <x:v>单代码</x:v>
      </x:c>
      <x:c r="X120" s="18" t="str">
        <x:v>—</x:v>
      </x:c>
      <x:c r="Y120" s="18" t="str"/>
    </x:row>
    <x:row r="121" ht="42" customHeight="1">
      <x:c r="A121" s="20" t="n">
        <x:v>117</x:v>
      </x:c>
      <x:c r="B121" s="18" t="str">
        <x:v>AmazingData 开发手册</x:v>
      </x:c>
      <x:c r="C121" s="18" t="str">
        <x:v>57</x:v>
      </x:c>
      <x:c r="D121" s="18" t="str">
        <x:v>股东股本</x:v>
      </x:c>
      <x:c r="E121" s="18" t="str">
        <x:v>get_share_holder(...)</x:v>
      </x:c>
      <x:c r="F121" s="18" t="str">
        <x:v>高层 wrapper；底层待取证</x:v>
      </x:c>
      <x:c r="G121" s="18" t="str">
        <x:v>互联网</x:v>
      </x:c>
      <x:c r="H121" s="18" t="str">
        <x:v>是</x:v>
      </x:c>
      <x:c r="I121" s="18" t="str">
        <x:v>低</x:v>
      </x:c>
      <x:c r="J121" s="18" t="str">
        <x:v>INVENTORIED</x:v>
      </x:c>
      <x:c r="K121" s="19" t="n">
        <x:f>IFERROR(VLOOKUP(J121,'状态字典'!$A$5:$B$16,2,FALSE),0)</x:f>
        <x:v>10</x:v>
      </x:c>
      <x:c r="L121" s="18" t="str"/>
      <x:c r="M121" s="18" t="str">
        <x:v>未执行</x:v>
      </x:c>
      <x:c r="N121" s="18" t="str">
        <x:v>—</x:v>
      </x:c>
      <x:c r="O121" s="18" t="str"/>
      <x:c r="P121" s="18" t="str">
        <x:v>待实现/复验</x:v>
      </x:c>
      <x:c r="Q121" s="18" t="str">
        <x:v>【推断】≈A010040001；INVENTORIED</x:v>
      </x:c>
      <x:c r="R121" s="18" t="str">
        <x:v>单代码；Linux oracle → wire → Mac → 同参</x:v>
      </x:c>
      <x:c r="S121" s="18" t="str">
        <x:v>codes+缓存组</x:v>
      </x:c>
      <x:c r="T121" s="18" t="str">
        <x:v>df</x:v>
      </x:c>
      <x:c r="U121" s="18" t="str">
        <x:v>无</x:v>
      </x:c>
      <x:c r="V121" s="18" t="str">
        <x:v>docs/PDF_API_INVENTORY.md</x:v>
      </x:c>
      <x:c r="W121" s="18" t="str">
        <x:v>单代码</x:v>
      </x:c>
      <x:c r="X121" s="18" t="str">
        <x:v>—</x:v>
      </x:c>
      <x:c r="Y121" s="18" t="str"/>
    </x:row>
    <x:row r="122" ht="42" customHeight="1">
      <x:c r="A122" s="20" t="n">
        <x:v>118</x:v>
      </x:c>
      <x:c r="B122" s="18" t="str">
        <x:v>AmazingData 开发手册</x:v>
      </x:c>
      <x:c r="C122" s="18" t="str">
        <x:v>58</x:v>
      </x:c>
      <x:c r="D122" s="18" t="str">
        <x:v>股东股本</x:v>
      </x:c>
      <x:c r="E122" s="18" t="str">
        <x:v>get_holder_num(...)</x:v>
      </x:c>
      <x:c r="F122" s="18" t="str">
        <x:v>高层 wrapper；底层待取证</x:v>
      </x:c>
      <x:c r="G122" s="18" t="str">
        <x:v>互联网</x:v>
      </x:c>
      <x:c r="H122" s="18" t="str">
        <x:v>是</x:v>
      </x:c>
      <x:c r="I122" s="18" t="str">
        <x:v>低</x:v>
      </x:c>
      <x:c r="J122" s="18" t="str">
        <x:v>INVENTORIED</x:v>
      </x:c>
      <x:c r="K122" s="19" t="n">
        <x:f>IFERROR(VLOOKUP(J122,'状态字典'!$A$5:$B$16,2,FALSE),0)</x:f>
        <x:v>10</x:v>
      </x:c>
      <x:c r="L122" s="18" t="str"/>
      <x:c r="M122" s="18" t="str">
        <x:v>未执行</x:v>
      </x:c>
      <x:c r="N122" s="18" t="str">
        <x:v>—</x:v>
      </x:c>
      <x:c r="O122" s="18" t="str"/>
      <x:c r="P122" s="18" t="str">
        <x:v>待实现/复验</x:v>
      </x:c>
      <x:c r="Q122" s="18" t="str">
        <x:v>INVENTORIED</x:v>
      </x:c>
      <x:c r="R122" s="18" t="str">
        <x:v>单代码；Linux oracle → wire → Mac → 同参</x:v>
      </x:c>
      <x:c r="S122" s="18" t="str">
        <x:v>同上</x:v>
      </x:c>
      <x:c r="T122" s="18" t="str">
        <x:v>df</x:v>
      </x:c>
      <x:c r="U122" s="18" t="str">
        <x:v>无</x:v>
      </x:c>
      <x:c r="V122" s="18" t="str">
        <x:v>docs/PDF_API_INVENTORY.md</x:v>
      </x:c>
      <x:c r="W122" s="18" t="str">
        <x:v>单代码</x:v>
      </x:c>
      <x:c r="X122" s="18" t="str">
        <x:v>TGW 手册无对应功能号</x:v>
      </x:c>
      <x:c r="Y122" s="18" t="str"/>
    </x:row>
    <x:row r="123" ht="42" customHeight="1">
      <x:c r="A123" s="20" t="n">
        <x:v>119</x:v>
      </x:c>
      <x:c r="B123" s="18" t="str">
        <x:v>AmazingData 开发手册</x:v>
      </x:c>
      <x:c r="C123" s="18" t="str">
        <x:v>59</x:v>
      </x:c>
      <x:c r="D123" s="18" t="str">
        <x:v>股东股本</x:v>
      </x:c>
      <x:c r="E123" s="18" t="str">
        <x:v>get_equity_structure(...)</x:v>
      </x:c>
      <x:c r="F123" s="18" t="str">
        <x:v>高层 wrapper；底层待取证</x:v>
      </x:c>
      <x:c r="G123" s="18" t="str">
        <x:v>互联网</x:v>
      </x:c>
      <x:c r="H123" s="18" t="str">
        <x:v>是</x:v>
      </x:c>
      <x:c r="I123" s="18" t="str">
        <x:v>低</x:v>
      </x:c>
      <x:c r="J123" s="18" t="str">
        <x:v>INVENTORIED</x:v>
      </x:c>
      <x:c r="K123" s="19" t="n">
        <x:f>IFERROR(VLOOKUP(J123,'状态字典'!$A$5:$B$16,2,FALSE),0)</x:f>
        <x:v>10</x:v>
      </x:c>
      <x:c r="L123" s="18" t="str"/>
      <x:c r="M123" s="18" t="str">
        <x:v>未执行</x:v>
      </x:c>
      <x:c r="N123" s="18" t="str">
        <x:v>PROGRESS 1..26</x:v>
      </x:c>
      <x:c r="O123" s="18" t="str"/>
      <x:c r="P123" s="18" t="str">
        <x:v>待实现/复验</x:v>
      </x:c>
      <x:c r="Q123" s="18" t="str">
        <x:v>【推断】≈A010010004；INVENTORIED</x:v>
      </x:c>
      <x:c r="R123" s="18" t="str">
        <x:v>单代码；Linux oracle → wire → Mac → 同参</x:v>
      </x:c>
      <x:c r="S123" s="18" t="str">
        <x:v>同上</x:v>
      </x:c>
      <x:c r="T123" s="18" t="str">
        <x:v>df</x:v>
      </x:c>
      <x:c r="U123" s="18" t="str">
        <x:v>无</x:v>
      </x:c>
      <x:c r="V123" s="18" t="str">
        <x:v>docs/PDF_API_INVENTORY.md</x:v>
      </x:c>
      <x:c r="W123" s="18" t="str">
        <x:v>单代码</x:v>
      </x:c>
      <x:c r="X123" s="18" t="str">
        <x:v>进度代码两套（分红/配股）不同</x:v>
      </x:c>
      <x:c r="Y123" s="18" t="str"/>
    </x:row>
    <x:row r="124" ht="42" customHeight="1">
      <x:c r="A124" s="20" t="n">
        <x:v>120</x:v>
      </x:c>
      <x:c r="B124" s="18" t="str">
        <x:v>AmazingData 开发手册</x:v>
      </x:c>
      <x:c r="C124" s="18" t="str">
        <x:v>62</x:v>
      </x:c>
      <x:c r="D124" s="18" t="str">
        <x:v>股东股本</x:v>
      </x:c>
      <x:c r="E124" s="18" t="str">
        <x:v>get_equity_pledge_freeze(...)</x:v>
      </x:c>
      <x:c r="F124" s="18" t="str">
        <x:v>高层 wrapper；底层待取证</x:v>
      </x:c>
      <x:c r="G124" s="18" t="str">
        <x:v>互联网</x:v>
      </x:c>
      <x:c r="H124" s="18" t="str">
        <x:v>是</x:v>
      </x:c>
      <x:c r="I124" s="18" t="str">
        <x:v>低</x:v>
      </x:c>
      <x:c r="J124" s="18" t="str">
        <x:v>INVENTORIED</x:v>
      </x:c>
      <x:c r="K124" s="19" t="n">
        <x:f>IFERROR(VLOOKUP(J124,'状态字典'!$A$5:$B$16,2,FALSE),0)</x:f>
        <x:v>10</x:v>
      </x:c>
      <x:c r="L124" s="18" t="str"/>
      <x:c r="M124" s="18" t="str">
        <x:v>未执行</x:v>
      </x:c>
      <x:c r="N124" s="18" t="str">
        <x:v>—</x:v>
      </x:c>
      <x:c r="O124" s="18" t="str"/>
      <x:c r="P124" s="18" t="str">
        <x:v>待实现/复验</x:v>
      </x:c>
      <x:c r="Q124" s="18" t="str">
        <x:v>【推断】≈A010040004；INVENTORIED</x:v>
      </x:c>
      <x:c r="R124" s="18" t="str">
        <x:v>单代码；Linux oracle → wire → Mac → 同参</x:v>
      </x:c>
      <x:c r="S124" s="18" t="str">
        <x:v>同上</x:v>
      </x:c>
      <x:c r="T124" s="18" t="str">
        <x:v>df</x:v>
      </x:c>
      <x:c r="U124" s="18" t="str">
        <x:v>无</x:v>
      </x:c>
      <x:c r="V124" s="18" t="str">
        <x:v>docs/PDF_API_INVENTORY.md</x:v>
      </x:c>
      <x:c r="W124" s="18" t="str">
        <x:v>单代码</x:v>
      </x:c>
      <x:c r="X124" s="18" t="str">
        <x:v>—</x:v>
      </x:c>
      <x:c r="Y124" s="18" t="str"/>
    </x:row>
    <x:row r="125" ht="42" customHeight="1">
      <x:c r="A125" s="20" t="n">
        <x:v>121</x:v>
      </x:c>
      <x:c r="B125" s="18" t="str">
        <x:v>AmazingData 开发手册</x:v>
      </x:c>
      <x:c r="C125" s="18" t="str">
        <x:v>64</x:v>
      </x:c>
      <x:c r="D125" s="18" t="str">
        <x:v>股东股本</x:v>
      </x:c>
      <x:c r="E125" s="18" t="str">
        <x:v>get_equity_restricted(...)</x:v>
      </x:c>
      <x:c r="F125" s="18" t="str">
        <x:v>高层 wrapper；底层待取证</x:v>
      </x:c>
      <x:c r="G125" s="18" t="str">
        <x:v>互联网</x:v>
      </x:c>
      <x:c r="H125" s="18" t="str">
        <x:v>是</x:v>
      </x:c>
      <x:c r="I125" s="18" t="str">
        <x:v>低</x:v>
      </x:c>
      <x:c r="J125" s="18" t="str">
        <x:v>INVENTORIED</x:v>
      </x:c>
      <x:c r="K125" s="19" t="n">
        <x:f>IFERROR(VLOOKUP(J125,'状态字典'!$A$5:$B$16,2,FALSE),0)</x:f>
        <x:v>10</x:v>
      </x:c>
      <x:c r="L125" s="18" t="str"/>
      <x:c r="M125" s="18" t="str">
        <x:v>未执行</x:v>
      </x:c>
      <x:c r="N125" s="18" t="str">
        <x:v>—</x:v>
      </x:c>
      <x:c r="O125" s="18" t="str"/>
      <x:c r="P125" s="18" t="str">
        <x:v>待实现/复验</x:v>
      </x:c>
      <x:c r="Q125" s="18" t="str">
        <x:v>【推断】≈A010040002/3；INVENTORIED</x:v>
      </x:c>
      <x:c r="R125" s="18" t="str">
        <x:v>单代码；Linux oracle → wire → Mac → 同参</x:v>
      </x:c>
      <x:c r="S125" s="18" t="str">
        <x:v>同上</x:v>
      </x:c>
      <x:c r="T125" s="18" t="str">
        <x:v>df</x:v>
      </x:c>
      <x:c r="U125" s="18" t="str">
        <x:v>无</x:v>
      </x:c>
      <x:c r="V125" s="18" t="str">
        <x:v>docs/PDF_API_INVENTORY.md</x:v>
      </x:c>
      <x:c r="W125" s="18" t="str">
        <x:v>单代码</x:v>
      </x:c>
      <x:c r="X125" s="18" t="str">
        <x:v>—</x:v>
      </x:c>
      <x:c r="Y125" s="18" t="str"/>
    </x:row>
    <x:row r="126" ht="42" customHeight="1">
      <x:c r="A126" s="20" t="n">
        <x:v>122</x:v>
      </x:c>
      <x:c r="B126" s="18" t="str">
        <x:v>AmazingData 开发手册</x:v>
      </x:c>
      <x:c r="C126" s="18" t="str">
        <x:v>65</x:v>
      </x:c>
      <x:c r="D126" s="18" t="str">
        <x:v>股东权益</x:v>
      </x:c>
      <x:c r="E126" s="18" t="str">
        <x:v>get_dividend(...)</x:v>
      </x:c>
      <x:c r="F126" s="18" t="str">
        <x:v>高层 wrapper；底层待取证</x:v>
      </x:c>
      <x:c r="G126" s="18" t="str">
        <x:v>互联网</x:v>
      </x:c>
      <x:c r="H126" s="18" t="str">
        <x:v>是</x:v>
      </x:c>
      <x:c r="I126" s="18" t="str">
        <x:v>低</x:v>
      </x:c>
      <x:c r="J126" s="18" t="str">
        <x:v>INVENTORIED</x:v>
      </x:c>
      <x:c r="K126" s="19" t="n">
        <x:f>IFERROR(VLOOKUP(J126,'状态字典'!$A$5:$B$16,2,FALSE),0)</x:f>
        <x:v>10</x:v>
      </x:c>
      <x:c r="L126" s="18" t="str"/>
      <x:c r="M126" s="18" t="str">
        <x:v>未执行</x:v>
      </x:c>
      <x:c r="N126" s="18" t="str">
        <x:v>DIV_PROGRESS 1..19</x:v>
      </x:c>
      <x:c r="O126" s="18" t="str"/>
      <x:c r="P126" s="18" t="str">
        <x:v>待实现/复验</x:v>
      </x:c>
      <x:c r="Q126" s="18" t="str">
        <x:v>【推断】≈A010030001；INVENTORIED</x:v>
      </x:c>
      <x:c r="R126" s="18" t="str">
        <x:v>单代码；Linux oracle → wire → Mac → 同参</x:v>
      </x:c>
      <x:c r="S126" s="18" t="str">
        <x:v>同上</x:v>
      </x:c>
      <x:c r="T126" s="18" t="str">
        <x:v>df</x:v>
      </x:c>
      <x:c r="U126" s="18" t="str">
        <x:v>无</x:v>
      </x:c>
      <x:c r="V126" s="18" t="str">
        <x:v>docs/PDF_API_INVENTORY.md</x:v>
      </x:c>
      <x:c r="W126" s="18" t="str">
        <x:v>单代码</x:v>
      </x:c>
      <x:c r="X126" s="18" t="str">
        <x:v>—</x:v>
      </x:c>
      <x:c r="Y126" s="18" t="str"/>
    </x:row>
    <x:row r="127" ht="42" customHeight="1">
      <x:c r="A127" s="20" t="n">
        <x:v>123</x:v>
      </x:c>
      <x:c r="B127" s="18" t="str">
        <x:v>AmazingData 开发手册</x:v>
      </x:c>
      <x:c r="C127" s="18" t="str">
        <x:v>67</x:v>
      </x:c>
      <x:c r="D127" s="18" t="str">
        <x:v>股东权益</x:v>
      </x:c>
      <x:c r="E127" s="18" t="str">
        <x:v>get_right_issue(...)</x:v>
      </x:c>
      <x:c r="F127" s="18" t="str">
        <x:v>高层 wrapper；底层待取证</x:v>
      </x:c>
      <x:c r="G127" s="18" t="str">
        <x:v>互联网</x:v>
      </x:c>
      <x:c r="H127" s="18" t="str">
        <x:v>是</x:v>
      </x:c>
      <x:c r="I127" s="18" t="str">
        <x:v>低</x:v>
      </x:c>
      <x:c r="J127" s="18" t="str">
        <x:v>INVENTORIED</x:v>
      </x:c>
      <x:c r="K127" s="19" t="n">
        <x:f>IFERROR(VLOOKUP(J127,'状态字典'!$A$5:$B$16,2,FALSE),0)</x:f>
        <x:v>10</x:v>
      </x:c>
      <x:c r="L127" s="18" t="str"/>
      <x:c r="M127" s="18" t="str">
        <x:v>未执行</x:v>
      </x:c>
      <x:c r="N127" s="18" t="str">
        <x:v>PROGRESS</x:v>
      </x:c>
      <x:c r="O127" s="18" t="str"/>
      <x:c r="P127" s="18" t="str">
        <x:v>待实现/复验</x:v>
      </x:c>
      <x:c r="Q127" s="18" t="str">
        <x:v>【推断】≈A010030002；INVENTORIED</x:v>
      </x:c>
      <x:c r="R127" s="18" t="str">
        <x:v>单代码；Linux oracle → wire → Mac → 同参</x:v>
      </x:c>
      <x:c r="S127" s="18" t="str">
        <x:v>同上</x:v>
      </x:c>
      <x:c r="T127" s="18" t="str">
        <x:v>df</x:v>
      </x:c>
      <x:c r="U127" s="18" t="str">
        <x:v>无</x:v>
      </x:c>
      <x:c r="V127" s="18" t="str">
        <x:v>docs/PDF_API_INVENTORY.md</x:v>
      </x:c>
      <x:c r="W127" s="18" t="str">
        <x:v>单代码</x:v>
      </x:c>
      <x:c r="X127" s="18" t="str">
        <x:v>—</x:v>
      </x:c>
      <x:c r="Y127" s="18" t="str"/>
    </x:row>
    <x:row r="128" ht="42" customHeight="1">
      <x:c r="A128" s="20" t="n">
        <x:v>124</x:v>
      </x:c>
      <x:c r="B128" s="18" t="str">
        <x:v>AmazingData 开发手册</x:v>
      </x:c>
      <x:c r="C128" s="18" t="str">
        <x:v>68</x:v>
      </x:c>
      <x:c r="D128" s="18" t="str">
        <x:v>两融</x:v>
      </x:c>
      <x:c r="E128" s="18" t="str">
        <x:v>get_margin_summary(...)</x:v>
      </x:c>
      <x:c r="F128" s="18" t="str">
        <x:v>高层 wrapper；底层待取证</x:v>
      </x:c>
      <x:c r="G128" s="18" t="str">
        <x:v>互联网</x:v>
      </x:c>
      <x:c r="H128" s="18" t="str">
        <x:v>是</x:v>
      </x:c>
      <x:c r="I128" s="18" t="str">
        <x:v>低</x:v>
      </x:c>
      <x:c r="J128" s="18" t="str">
        <x:v>INVENTORIED</x:v>
      </x:c>
      <x:c r="K128" s="19" t="n">
        <x:f>IFERROR(VLOOKUP(J128,'状态字典'!$A$5:$B$16,2,FALSE),0)</x:f>
        <x:v>10</x:v>
      </x:c>
      <x:c r="L128" s="18" t="str"/>
      <x:c r="M128" s="18" t="str">
        <x:v>未执行</x:v>
      </x:c>
      <x:c r="N128" s="18" t="str">
        <x:v>—</x:v>
      </x:c>
      <x:c r="O128" s="18" t="str"/>
      <x:c r="P128" s="18" t="str">
        <x:v>待实现/复验</x:v>
      </x:c>
      <x:c r="Q128" s="18" t="str">
        <x:v>【推断】≈A010080002；INVENTORIED</x:v>
      </x:c>
      <x:c r="R128" s="18" t="str">
        <x:v>单市场单日；Linux oracle → wire → Mac → 同参</x:v>
      </x:c>
      <x:c r="S128" s="18" t="str">
        <x:v>同上</x:v>
      </x:c>
      <x:c r="T128" s="18" t="str">
        <x:v>df</x:v>
      </x:c>
      <x:c r="U128" s="18" t="str">
        <x:v>无</x:v>
      </x:c>
      <x:c r="V128" s="18" t="str">
        <x:v>docs/PDF_API_INVENTORY.md</x:v>
      </x:c>
      <x:c r="W128" s="18" t="str">
        <x:v>单市场单日</x:v>
      </x:c>
      <x:c r="X128" s="18" t="str">
        <x:v>—</x:v>
      </x:c>
      <x:c r="Y128" s="18" t="str"/>
    </x:row>
    <x:row r="129" ht="42" customHeight="1">
      <x:c r="A129" s="20" t="n">
        <x:v>125</x:v>
      </x:c>
      <x:c r="B129" s="18" t="str">
        <x:v>AmazingData 开发手册</x:v>
      </x:c>
      <x:c r="C129" s="18" t="str">
        <x:v>69</x:v>
      </x:c>
      <x:c r="D129" s="18" t="str">
        <x:v>两融</x:v>
      </x:c>
      <x:c r="E129" s="18" t="str">
        <x:v>get_margin_detail(...)</x:v>
      </x:c>
      <x:c r="F129" s="18" t="str">
        <x:v>高层 wrapper；底层待取证</x:v>
      </x:c>
      <x:c r="G129" s="18" t="str">
        <x:v>互联网</x:v>
      </x:c>
      <x:c r="H129" s="18" t="str">
        <x:v>是</x:v>
      </x:c>
      <x:c r="I129" s="18" t="str">
        <x:v>低</x:v>
      </x:c>
      <x:c r="J129" s="18" t="str">
        <x:v>INVENTORIED</x:v>
      </x:c>
      <x:c r="K129" s="19" t="n">
        <x:f>IFERROR(VLOOKUP(J129,'状态字典'!$A$5:$B$16,2,FALSE),0)</x:f>
        <x:v>10</x:v>
      </x:c>
      <x:c r="L129" s="18" t="str"/>
      <x:c r="M129" s="18" t="str">
        <x:v>未执行</x:v>
      </x:c>
      <x:c r="N129" s="18" t="str">
        <x:v>—</x:v>
      </x:c>
      <x:c r="O129" s="18" t="str"/>
      <x:c r="P129" s="18" t="str">
        <x:v>待实现/复验</x:v>
      </x:c>
      <x:c r="Q129" s="18" t="str">
        <x:v>【推断】≈A010080001；INVENTORIED</x:v>
      </x:c>
      <x:c r="R129" s="18" t="str">
        <x:v>单市场单日；Linux oracle → wire → Mac → 同参</x:v>
      </x:c>
      <x:c r="S129" s="18" t="str">
        <x:v>同上</x:v>
      </x:c>
      <x:c r="T129" s="18" t="str">
        <x:v>df</x:v>
      </x:c>
      <x:c r="U129" s="18" t="str">
        <x:v>无</x:v>
      </x:c>
      <x:c r="V129" s="18" t="str">
        <x:v>docs/PDF_API_INVENTORY.md</x:v>
      </x:c>
      <x:c r="W129" s="18" t="str">
        <x:v>单市场单日</x:v>
      </x:c>
      <x:c r="X129" s="18" t="str">
        <x:v>—</x:v>
      </x:c>
      <x:c r="Y129" s="18" t="str"/>
    </x:row>
    <x:row r="130" ht="42" customHeight="1">
      <x:c r="A130" s="20" t="n">
        <x:v>126</x:v>
      </x:c>
      <x:c r="B130" s="18" t="str">
        <x:v>AmazingData 开发手册</x:v>
      </x:c>
      <x:c r="C130" s="18" t="str">
        <x:v>71</x:v>
      </x:c>
      <x:c r="D130" s="18" t="str">
        <x:v>异动</x:v>
      </x:c>
      <x:c r="E130" s="18" t="str">
        <x:v>get_long_hu_bang(...)</x:v>
      </x:c>
      <x:c r="F130" s="18" t="str">
        <x:v>高层 wrapper；底层待取证</x:v>
      </x:c>
      <x:c r="G130" s="18" t="str">
        <x:v>互联网</x:v>
      </x:c>
      <x:c r="H130" s="18" t="str">
        <x:v>是</x:v>
      </x:c>
      <x:c r="I130" s="18" t="str">
        <x:v>低</x:v>
      </x:c>
      <x:c r="J130" s="18" t="str">
        <x:v>INVENTORIED</x:v>
      </x:c>
      <x:c r="K130" s="19" t="n">
        <x:f>IFERROR(VLOOKUP(J130,'状态字典'!$A$5:$B$16,2,FALSE),0)</x:f>
        <x:v>10</x:v>
      </x:c>
      <x:c r="L130" s="18" t="str"/>
      <x:c r="M130" s="18" t="str">
        <x:v>未执行</x:v>
      </x:c>
      <x:c r="N130" s="18" t="str">
        <x:v>—</x:v>
      </x:c>
      <x:c r="O130" s="18" t="str"/>
      <x:c r="P130" s="18" t="str">
        <x:v>待实现/复验</x:v>
      </x:c>
      <x:c r="Q130" s="18" t="str">
        <x:v>【推断】≈A010070002；INVENTORIED</x:v>
      </x:c>
      <x:c r="R130" s="18" t="str">
        <x:v>单市场最新日；Linux oracle → wire → Mac → 同参</x:v>
      </x:c>
      <x:c r="S130" s="18" t="str">
        <x:v>同上</x:v>
      </x:c>
      <x:c r="T130" s="18" t="str">
        <x:v>df</x:v>
      </x:c>
      <x:c r="U130" s="18" t="str">
        <x:v>无</x:v>
      </x:c>
      <x:c r="V130" s="18" t="str">
        <x:v>docs/PDF_API_INVENTORY.md</x:v>
      </x:c>
      <x:c r="W130" s="18" t="str">
        <x:v>单市场最新日</x:v>
      </x:c>
      <x:c r="X130" s="18" t="str">
        <x:v>—</x:v>
      </x:c>
      <x:c r="Y130" s="18" t="str"/>
    </x:row>
    <x:row r="131" ht="42" customHeight="1">
      <x:c r="A131" s="20" t="n">
        <x:v>127</x:v>
      </x:c>
      <x:c r="B131" s="18" t="str">
        <x:v>AmazingData 开发手册</x:v>
      </x:c>
      <x:c r="C131" s="18" t="str">
        <x:v>72</x:v>
      </x:c>
      <x:c r="D131" s="18" t="str">
        <x:v>异动</x:v>
      </x:c>
      <x:c r="E131" s="18" t="str">
        <x:v>get_block_trading(...)</x:v>
      </x:c>
      <x:c r="F131" s="18" t="str">
        <x:v>高层 wrapper；底层待取证</x:v>
      </x:c>
      <x:c r="G131" s="18" t="str">
        <x:v>互联网</x:v>
      </x:c>
      <x:c r="H131" s="18" t="str">
        <x:v>是</x:v>
      </x:c>
      <x:c r="I131" s="18" t="str">
        <x:v>低</x:v>
      </x:c>
      <x:c r="J131" s="18" t="str">
        <x:v>INVENTORIED</x:v>
      </x:c>
      <x:c r="K131" s="19" t="n">
        <x:f>IFERROR(VLOOKUP(J131,'状态字典'!$A$5:$B$16,2,FALSE),0)</x:f>
        <x:v>10</x:v>
      </x:c>
      <x:c r="L131" s="18" t="str"/>
      <x:c r="M131" s="18" t="str">
        <x:v>未执行</x:v>
      </x:c>
      <x:c r="N131" s="18" t="str">
        <x:v>—</x:v>
      </x:c>
      <x:c r="O131" s="18" t="str"/>
      <x:c r="P131" s="18" t="str">
        <x:v>待实现/复验</x:v>
      </x:c>
      <x:c r="Q131" s="18" t="str">
        <x:v>【推断】≈A010070001；INVENTORIED</x:v>
      </x:c>
      <x:c r="R131" s="18" t="str">
        <x:v>单代码最新日；Linux oracle → wire → Mac → 同参</x:v>
      </x:c>
      <x:c r="S131" s="18" t="str">
        <x:v>同上</x:v>
      </x:c>
      <x:c r="T131" s="18" t="str">
        <x:v>df</x:v>
      </x:c>
      <x:c r="U131" s="18" t="str">
        <x:v>无</x:v>
      </x:c>
      <x:c r="V131" s="18" t="str">
        <x:v>docs/PDF_API_INVENTORY.md</x:v>
      </x:c>
      <x:c r="W131" s="18" t="str">
        <x:v>单代码最新日</x:v>
      </x:c>
      <x:c r="X131" s="18" t="str">
        <x:v>—</x:v>
      </x:c>
      <x:c r="Y131" s="18" t="str"/>
    </x:row>
    <x:row r="132" ht="42" customHeight="1">
      <x:c r="A132" s="20" t="n">
        <x:v>128</x:v>
      </x:c>
      <x:c r="B132" s="18" t="str">
        <x:v>AmazingData 开发手册</x:v>
      </x:c>
      <x:c r="C132" s="18" t="str">
        <x:v>73</x:v>
      </x:c>
      <x:c r="D132" s="18" t="str">
        <x:v>期权</x:v>
      </x:c>
      <x:c r="E132" s="18" t="str">
        <x:v>get_option_basic_info(...)</x:v>
      </x:c>
      <x:c r="F132" s="18" t="str">
        <x:v>高层 wrapper；底层待取证</x:v>
      </x:c>
      <x:c r="G132" s="18" t="str">
        <x:v>互联网</x:v>
      </x:c>
      <x:c r="H132" s="18" t="str">
        <x:v>是</x:v>
      </x:c>
      <x:c r="I132" s="18" t="str">
        <x:v>低</x:v>
      </x:c>
      <x:c r="J132" s="18" t="str">
        <x:v>INVENTORIED</x:v>
      </x:c>
      <x:c r="K132" s="19" t="n">
        <x:f>IFERROR(VLOOKUP(J132,'状态字典'!$A$5:$B$16,2,FALSE),0)</x:f>
        <x:v>10</x:v>
      </x:c>
      <x:c r="L132" s="18" t="str"/>
      <x:c r="M132" s="18" t="str">
        <x:v>未执行</x:v>
      </x:c>
      <x:c r="N132" s="18" t="str">
        <x:v>—</x:v>
      </x:c>
      <x:c r="O132" s="18" t="str"/>
      <x:c r="P132" s="18" t="str">
        <x:v>待实现/复验</x:v>
      </x:c>
      <x:c r="Q132" s="18" t="str">
        <x:v>INVENTORIED</x:v>
      </x:c>
      <x:c r="R132" s="18" t="str">
        <x:v>单合约；Linux oracle → wire → Mac → 同参</x:v>
      </x:c>
      <x:c r="S132" s="18" t="str">
        <x:v>同上</x:v>
      </x:c>
      <x:c r="T132" s="18" t="str">
        <x:v>df</x:v>
      </x:c>
      <x:c r="U132" s="18" t="str">
        <x:v>无</x:v>
      </x:c>
      <x:c r="V132" s="18" t="str">
        <x:v>docs/PDF_API_INVENTORY.md</x:v>
      </x:c>
      <x:c r="W132" s="18" t="str">
        <x:v>单合约</x:v>
      </x:c>
      <x:c r="X132" s="18" t="str">
        <x:v>TGW 手册无对应功能号；底层疑似 DQS/其它服务</x:v>
      </x:c>
      <x:c r="Y132" s="18" t="str"/>
    </x:row>
    <x:row r="133" ht="42" customHeight="1">
      <x:c r="A133" s="20" t="n">
        <x:v>129</x:v>
      </x:c>
      <x:c r="B133" s="18" t="str">
        <x:v>AmazingData 开发手册</x:v>
      </x:c>
      <x:c r="C133" s="18" t="str">
        <x:v>75</x:v>
      </x:c>
      <x:c r="D133" s="18" t="str">
        <x:v>期权</x:v>
      </x:c>
      <x:c r="E133" s="18" t="str">
        <x:v>get_option_std_ctr_specs(...)</x:v>
      </x:c>
      <x:c r="F133" s="18" t="str">
        <x:v>高层 wrapper；底层待取证</x:v>
      </x:c>
      <x:c r="G133" s="18" t="str">
        <x:v>互联网</x:v>
      </x:c>
      <x:c r="H133" s="18" t="str">
        <x:v>是</x:v>
      </x:c>
      <x:c r="I133" s="18" t="str">
        <x:v>低</x:v>
      </x:c>
      <x:c r="J133" s="18" t="str">
        <x:v>INVENTORIED</x:v>
      </x:c>
      <x:c r="K133" s="19" t="n">
        <x:f>IFERROR(VLOOKUP(J133,'状态字典'!$A$5:$B$16,2,FALSE),0)</x:f>
        <x:v>10</x:v>
      </x:c>
      <x:c r="L133" s="18" t="str"/>
      <x:c r="M133" s="18" t="str">
        <x:v>未执行</x:v>
      </x:c>
      <x:c r="N133" s="18" t="str">
        <x:v>—</x:v>
      </x:c>
      <x:c r="O133" s="18" t="str"/>
      <x:c r="P133" s="18" t="str">
        <x:v>待实现/复验</x:v>
      </x:c>
      <x:c r="Q133" s="18" t="str">
        <x:v>INVENTORIED</x:v>
      </x:c>
      <x:c r="R133" s="18" t="str">
        <x:v>单标的；Linux oracle → wire → Mac → 同参</x:v>
      </x:c>
      <x:c r="S133" s="18" t="str">
        <x:v>同上</x:v>
      </x:c>
      <x:c r="T133" s="18" t="str">
        <x:v>df</x:v>
      </x:c>
      <x:c r="U133" s="18" t="str">
        <x:v>无</x:v>
      </x:c>
      <x:c r="V133" s="18" t="str">
        <x:v>docs/PDF_API_INVENTORY.md</x:v>
      </x:c>
      <x:c r="W133" s="18" t="str">
        <x:v>单标的</x:v>
      </x:c>
      <x:c r="X133" s="18" t="str">
        <x:v>同上</x:v>
      </x:c>
      <x:c r="Y133" s="18" t="str"/>
    </x:row>
    <x:row r="134" ht="42" customHeight="1">
      <x:c r="A134" s="20" t="n">
        <x:v>130</x:v>
      </x:c>
      <x:c r="B134" s="18" t="str">
        <x:v>AmazingData 开发手册</x:v>
      </x:c>
      <x:c r="C134" s="18" t="str">
        <x:v>76</x:v>
      </x:c>
      <x:c r="D134" s="18" t="str">
        <x:v>期权</x:v>
      </x:c>
      <x:c r="E134" s="18" t="str">
        <x:v>get_option_mon_ctr_specs(...)</x:v>
      </x:c>
      <x:c r="F134" s="18" t="str">
        <x:v>高层 wrapper；底层待取证</x:v>
      </x:c>
      <x:c r="G134" s="18" t="str">
        <x:v>互联网</x:v>
      </x:c>
      <x:c r="H134" s="18" t="str">
        <x:v>是</x:v>
      </x:c>
      <x:c r="I134" s="18" t="str">
        <x:v>低</x:v>
      </x:c>
      <x:c r="J134" s="18" t="str">
        <x:v>INVENTORIED</x:v>
      </x:c>
      <x:c r="K134" s="19" t="n">
        <x:f>IFERROR(VLOOKUP(J134,'状态字典'!$A$5:$B$16,2,FALSE),0)</x:f>
        <x:v>10</x:v>
      </x:c>
      <x:c r="L134" s="18" t="str"/>
      <x:c r="M134" s="18" t="str">
        <x:v>未执行</x:v>
      </x:c>
      <x:c r="N134" s="18" t="str">
        <x:v>—</x:v>
      </x:c>
      <x:c r="O134" s="18" t="str"/>
      <x:c r="P134" s="18" t="str">
        <x:v>待实现/复验</x:v>
      </x:c>
      <x:c r="Q134" s="18" t="str">
        <x:v>INVENTORIED</x:v>
      </x:c>
      <x:c r="R134" s="18" t="str">
        <x:v>单合约月；Linux oracle → wire → Mac → 同参</x:v>
      </x:c>
      <x:c r="S134" s="18" t="str">
        <x:v>同上</x:v>
      </x:c>
      <x:c r="T134" s="18" t="str">
        <x:v>df(UNIT_NEW,CHANGE_REASON…)</x:v>
      </x:c>
      <x:c r="U134" s="18" t="str">
        <x:v>无</x:v>
      </x:c>
      <x:c r="V134" s="18" t="str">
        <x:v>docs/PDF_API_INVENTORY.md</x:v>
      </x:c>
      <x:c r="W134" s="18" t="str">
        <x:v>单合约月</x:v>
      </x:c>
      <x:c r="X134" s="18" t="str">
        <x:v>同上</x:v>
      </x:c>
      <x:c r="Y134" s="18" t="str"/>
    </x:row>
    <x:row r="135" ht="42" customHeight="1">
      <x:c r="A135" s="20" t="n">
        <x:v>131</x:v>
      </x:c>
      <x:c r="B135" s="18" t="str">
        <x:v>AmazingData 开发手册</x:v>
      </x:c>
      <x:c r="C135" s="18" t="str">
        <x:v>78–82</x:v>
      </x:c>
      <x:c r="D135" s="18" t="str">
        <x:v>ETF</x:v>
      </x:c>
      <x:c r="E135" s="18" t="str">
        <x:v>get_etf_pcf(codes) →(etf_pcf_info, etf_pcf_constituent)</x:v>
      </x:c>
      <x:c r="F135" s="18" t="str">
        <x:v>高层 wrapper；底层待取证</x:v>
      </x:c>
      <x:c r="G135" s="18" t="str">
        <x:v>互联网</x:v>
      </x:c>
      <x:c r="H135" s="18" t="str">
        <x:v>是</x:v>
      </x:c>
      <x:c r="I135" s="18" t="str">
        <x:v>低</x:v>
      </x:c>
      <x:c r="J135" s="18" t="str">
        <x:v>INVENTORIED</x:v>
      </x:c>
      <x:c r="K135" s="19" t="n">
        <x:f>IFERROR(VLOOKUP(J135,'状态字典'!$A$5:$B$16,2,FALSE),0)</x:f>
        <x:v>10</x:v>
      </x:c>
      <x:c r="L135" s="18" t="str"/>
      <x:c r="M135" s="18" t="str">
        <x:v>未执行</x:v>
      </x:c>
      <x:c r="N135" s="18" t="str">
        <x:v>—</x:v>
      </x:c>
      <x:c r="O135" s="18" t="str"/>
      <x:c r="P135" s="18" t="str">
        <x:v>待实现/复验</x:v>
      </x:c>
      <x:c r="Q135" s="18" t="str">
        <x:v>TGW 低层 #43 已闭环，但 AD 高层映射仍只是【推断】；INVENTORIED</x:v>
      </x:c>
      <x:c r="R135" s="18" t="str">
        <x:v>510300 单只；Linux oracle → wire → Mac → 同参</x:v>
      </x:c>
      <x:c r="S135" s="18" t="str">
        <x:v>codes</x:v>
      </x:c>
      <x:c r="T135" s="18" t="str">
        <x:v>df+dict{code:df}</x:v>
      </x:c>
      <x:c r="U135" s="18" t="str">
        <x:v>无</x:v>
      </x:c>
      <x:c r="V135" s="18" t="str">
        <x:v>docs/PDF_API_INVENTORY.md</x:v>
      </x:c>
      <x:c r="W135" s="18" t="str">
        <x:v>510300 单只</x:v>
      </x:c>
      <x:c r="X135" s="18" t="str">
        <x:v>AD 返回拆两个容器；不能由低层 QueryETFInfo 成功外推高层 wrapper 已完成</x:v>
      </x:c>
      <x:c r="Y135" s="18" t="str"/>
    </x:row>
    <x:row r="136" ht="42" customHeight="1">
      <x:c r="A136" s="20" t="n">
        <x:v>132</x:v>
      </x:c>
      <x:c r="B136" s="18" t="str">
        <x:v>AmazingData 开发手册</x:v>
      </x:c>
      <x:c r="C136" s="18" t="str">
        <x:v>82</x:v>
      </x:c>
      <x:c r="D136" s="18" t="str">
        <x:v>ETF</x:v>
      </x:c>
      <x:c r="E136" s="18" t="str">
        <x:v>get_fund_share(...)</x:v>
      </x:c>
      <x:c r="F136" s="18" t="str">
        <x:v>高层 wrapper；底层待取证</x:v>
      </x:c>
      <x:c r="G136" s="18" t="str">
        <x:v>互联网</x:v>
      </x:c>
      <x:c r="H136" s="18" t="str">
        <x:v>是</x:v>
      </x:c>
      <x:c r="I136" s="18" t="str">
        <x:v>低</x:v>
      </x:c>
      <x:c r="J136" s="18" t="str">
        <x:v>INVENTORIED</x:v>
      </x:c>
      <x:c r="K136" s="19" t="n">
        <x:f>IFERROR(VLOOKUP(J136,'状态字典'!$A$5:$B$16,2,FALSE),0)</x:f>
        <x:v>10</x:v>
      </x:c>
      <x:c r="L136" s="18" t="str"/>
      <x:c r="M136" s="18" t="str">
        <x:v>未执行</x:v>
      </x:c>
      <x:c r="N136" s="18" t="str">
        <x:v>—</x:v>
      </x:c>
      <x:c r="O136" s="18" t="str"/>
      <x:c r="P136" s="18" t="str">
        <x:v>待实现/复验</x:v>
      </x:c>
      <x:c r="Q136" s="18" t="str">
        <x:v>INVENTORIED</x:v>
      </x:c>
      <x:c r="R136" s="18" t="str">
        <x:v>单基金；Linux oracle → wire → Mac → 同参</x:v>
      </x:c>
      <x:c r="S136" s="18" t="str">
        <x:v>codes+缓存组</x:v>
      </x:c>
      <x:c r="T136" s="18" t="str">
        <x:v>df</x:v>
      </x:c>
      <x:c r="U136" s="18" t="str">
        <x:v>无</x:v>
      </x:c>
      <x:c r="V136" s="18" t="str">
        <x:v>docs/PDF_API_INVENTORY.md</x:v>
      </x:c>
      <x:c r="W136" s="18" t="str">
        <x:v>单基金</x:v>
      </x:c>
      <x:c r="X136" s="18" t="str">
        <x:v>TGW 手册无对应</x:v>
      </x:c>
      <x:c r="Y136" s="18" t="str"/>
    </x:row>
    <x:row r="137" ht="42" customHeight="1">
      <x:c r="A137" s="20" t="n">
        <x:v>133</x:v>
      </x:c>
      <x:c r="B137" s="18" t="str">
        <x:v>AmazingData 开发手册</x:v>
      </x:c>
      <x:c r="C137" s="18" t="str">
        <x:v>83</x:v>
      </x:c>
      <x:c r="D137" s="18" t="str">
        <x:v>ETF</x:v>
      </x:c>
      <x:c r="E137" s="18" t="str">
        <x:v>get_fund_nav(...)</x:v>
      </x:c>
      <x:c r="F137" s="18" t="str">
        <x:v>高层 wrapper；底层待取证</x:v>
      </x:c>
      <x:c r="G137" s="18" t="str">
        <x:v>互联网</x:v>
      </x:c>
      <x:c r="H137" s="18" t="str">
        <x:v>是</x:v>
      </x:c>
      <x:c r="I137" s="18" t="str">
        <x:v>低</x:v>
      </x:c>
      <x:c r="J137" s="18" t="str">
        <x:v>INVENTORIED</x:v>
      </x:c>
      <x:c r="K137" s="19" t="n">
        <x:f>IFERROR(VLOOKUP(J137,'状态字典'!$A$5:$B$16,2,FALSE),0)</x:f>
        <x:v>10</x:v>
      </x:c>
      <x:c r="L137" s="18" t="str"/>
      <x:c r="M137" s="18" t="str">
        <x:v>未执行</x:v>
      </x:c>
      <x:c r="N137" s="18" t="str">
        <x:v>—</x:v>
      </x:c>
      <x:c r="O137" s="18" t="str"/>
      <x:c r="P137" s="18" t="str">
        <x:v>待实现/复验</x:v>
      </x:c>
      <x:c r="Q137" s="18" t="str">
        <x:v>INVENTORIED</x:v>
      </x:c>
      <x:c r="R137" s="18" t="str">
        <x:v>单基金；Linux oracle → wire → Mac → 同参</x:v>
      </x:c>
      <x:c r="S137" s="18" t="str">
        <x:v>同上</x:v>
      </x:c>
      <x:c r="T137" s="18" t="str">
        <x:v>df</x:v>
      </x:c>
      <x:c r="U137" s="18" t="str">
        <x:v>无</x:v>
      </x:c>
      <x:c r="V137" s="18" t="str">
        <x:v>docs/PDF_API_INVENTORY.md</x:v>
      </x:c>
      <x:c r="W137" s="18" t="str">
        <x:v>单基金</x:v>
      </x:c>
      <x:c r="X137" s="18" t="str">
        <x:v>同上</x:v>
      </x:c>
      <x:c r="Y137" s="18" t="str"/>
    </x:row>
    <x:row r="138" ht="42" customHeight="1">
      <x:c r="A138" s="20" t="n">
        <x:v>134</x:v>
      </x:c>
      <x:c r="B138" s="18" t="str">
        <x:v>AmazingData 开发手册</x:v>
      </x:c>
      <x:c r="C138" s="18" t="str">
        <x:v>84</x:v>
      </x:c>
      <x:c r="D138" s="18" t="str">
        <x:v>ETF</x:v>
      </x:c>
      <x:c r="E138" s="18" t="str">
        <x:v>get_fund_iopv(...)</x:v>
      </x:c>
      <x:c r="F138" s="18" t="str">
        <x:v>高层 wrapper；底层待取证</x:v>
      </x:c>
      <x:c r="G138" s="18" t="str">
        <x:v>互联网</x:v>
      </x:c>
      <x:c r="H138" s="18" t="str">
        <x:v>是</x:v>
      </x:c>
      <x:c r="I138" s="18" t="str">
        <x:v>低</x:v>
      </x:c>
      <x:c r="J138" s="18" t="str">
        <x:v>INVENTORIED</x:v>
      </x:c>
      <x:c r="K138" s="19" t="n">
        <x:f>IFERROR(VLOOKUP(J138,'状态字典'!$A$5:$B$16,2,FALSE),0)</x:f>
        <x:v>10</x:v>
      </x:c>
      <x:c r="L138" s="18" t="str"/>
      <x:c r="M138" s="18" t="str">
        <x:v>未执行</x:v>
      </x:c>
      <x:c r="N138" s="18" t="str">
        <x:v>—</x:v>
      </x:c>
      <x:c r="O138" s="18" t="str"/>
      <x:c r="P138" s="18" t="str">
        <x:v>待实现/复验</x:v>
      </x:c>
      <x:c r="Q138" s="18" t="str">
        <x:v>INVENTORIED</x:v>
      </x:c>
      <x:c r="R138" s="18" t="str">
        <x:v>单基金收盘 iopv；Linux oracle → wire → Mac → 同参</x:v>
      </x:c>
      <x:c r="S138" s="18" t="str">
        <x:v>同上</x:v>
      </x:c>
      <x:c r="T138" s="18" t="str">
        <x:v>df</x:v>
      </x:c>
      <x:c r="U138" s="18" t="str">
        <x:v>无</x:v>
      </x:c>
      <x:c r="V138" s="18" t="str">
        <x:v>docs/PDF_API_INVENTORY.md</x:v>
      </x:c>
      <x:c r="W138" s="18" t="str">
        <x:v>单基金收盘 iopv</x:v>
      </x:c>
      <x:c r="X138" s="18" t="str">
        <x:v>同上</x:v>
      </x:c>
      <x:c r="Y138" s="18" t="str"/>
    </x:row>
    <x:row r="139" ht="42" customHeight="1">
      <x:c r="A139" s="20" t="n">
        <x:v>135</x:v>
      </x:c>
      <x:c r="B139" s="18" t="str">
        <x:v>AmazingData 开发手册</x:v>
      </x:c>
      <x:c r="C139" s="18" t="str">
        <x:v>85</x:v>
      </x:c>
      <x:c r="D139" s="18" t="str">
        <x:v>指数</x:v>
      </x:c>
      <x:c r="E139" s="18" t="str">
        <x:v>get_index_constituent(...)</x:v>
      </x:c>
      <x:c r="F139" s="18" t="str">
        <x:v>高层 wrapper；底层待取证</x:v>
      </x:c>
      <x:c r="G139" s="18" t="str">
        <x:v>互联网</x:v>
      </x:c>
      <x:c r="H139" s="18" t="str">
        <x:v>是</x:v>
      </x:c>
      <x:c r="I139" s="18" t="str">
        <x:v>低</x:v>
      </x:c>
      <x:c r="J139" s="18" t="str">
        <x:v>INVENTORIED</x:v>
      </x:c>
      <x:c r="K139" s="19" t="n">
        <x:f>IFERROR(VLOOKUP(J139,'状态字典'!$A$5:$B$16,2,FALSE),0)</x:f>
        <x:v>10</x:v>
      </x:c>
      <x:c r="L139" s="18" t="str"/>
      <x:c r="M139" s="18" t="str">
        <x:v>未执行</x:v>
      </x:c>
      <x:c r="N139" s="18" t="str">
        <x:v>—</x:v>
      </x:c>
      <x:c r="O139" s="18" t="str"/>
      <x:c r="P139" s="18" t="str">
        <x:v>待实现/复验</x:v>
      </x:c>
      <x:c r="Q139" s="18" t="str">
        <x:v>【推断】≈A010200001；INVENTORIED</x:v>
      </x:c>
      <x:c r="R139" s="18" t="str">
        <x:v>单指数；Linux oracle → wire → Mac → 同参</x:v>
      </x:c>
      <x:c r="S139" s="18" t="str">
        <x:v>codes</x:v>
      </x:c>
      <x:c r="T139" s="18" t="str">
        <x:v>df</x:v>
      </x:c>
      <x:c r="U139" s="18" t="str">
        <x:v>无</x:v>
      </x:c>
      <x:c r="V139" s="18" t="str">
        <x:v>docs/PDF_API_INVENTORY.md</x:v>
      </x:c>
      <x:c r="W139" s="18" t="str">
        <x:v>单指数</x:v>
      </x:c>
      <x:c r="X139" s="18" t="str">
        <x:v>—</x:v>
      </x:c>
      <x:c r="Y139" s="18" t="str"/>
    </x:row>
    <x:row r="140" ht="42" customHeight="1">
      <x:c r="A140" s="20" t="n">
        <x:v>136</x:v>
      </x:c>
      <x:c r="B140" s="18" t="str">
        <x:v>AmazingData 开发手册</x:v>
      </x:c>
      <x:c r="C140" s="18" t="str">
        <x:v>86</x:v>
      </x:c>
      <x:c r="D140" s="18" t="str">
        <x:v>指数</x:v>
      </x:c>
      <x:c r="E140" s="18" t="str">
        <x:v>get_index_weight(...)</x:v>
      </x:c>
      <x:c r="F140" s="18" t="str">
        <x:v>高层 wrapper；底层待取证</x:v>
      </x:c>
      <x:c r="G140" s="18" t="str">
        <x:v>互联网</x:v>
      </x:c>
      <x:c r="H140" s="18" t="str">
        <x:v>是</x:v>
      </x:c>
      <x:c r="I140" s="18" t="str">
        <x:v>低</x:v>
      </x:c>
      <x:c r="J140" s="18" t="str">
        <x:v>INVENTORIED</x:v>
      </x:c>
      <x:c r="K140" s="19" t="n">
        <x:f>IFERROR(VLOOKUP(J140,'状态字典'!$A$5:$B$16,2,FALSE),0)</x:f>
        <x:v>10</x:v>
      </x:c>
      <x:c r="L140" s="18" t="str"/>
      <x:c r="M140" s="18" t="str">
        <x:v>未执行</x:v>
      </x:c>
      <x:c r="N140" s="18" t="str">
        <x:v>—</x:v>
      </x:c>
      <x:c r="O140" s="18" t="str"/>
      <x:c r="P140" s="18" t="str">
        <x:v>待实现/复验</x:v>
      </x:c>
      <x:c r="Q140" s="18" t="str">
        <x:v>INVENTORIED</x:v>
      </x:c>
      <x:c r="R140" s="18" t="str">
        <x:v>单指数单日；Linux oracle → wire → Mac → 同参</x:v>
      </x:c>
      <x:c r="S140" s="18" t="str">
        <x:v>codes</x:v>
      </x:c>
      <x:c r="T140" s="18" t="str">
        <x:v>df</x:v>
      </x:c>
      <x:c r="U140" s="18" t="str">
        <x:v>无</x:v>
      </x:c>
      <x:c r="V140" s="18" t="str">
        <x:v>docs/PDF_API_INVENTORY.md</x:v>
      </x:c>
      <x:c r="W140" s="18" t="str">
        <x:v>单指数单日</x:v>
      </x:c>
      <x:c r="X140" s="18" t="str">
        <x:v>TGW 手册无对应功能号</x:v>
      </x:c>
      <x:c r="Y140" s="18" t="str"/>
    </x:row>
    <x:row r="141" ht="42" customHeight="1">
      <x:c r="A141" s="20" t="n">
        <x:v>137</x:v>
      </x:c>
      <x:c r="B141" s="18" t="str">
        <x:v>AmazingData 开发手册</x:v>
      </x:c>
      <x:c r="C141" s="18" t="str">
        <x:v>88</x:v>
      </x:c>
      <x:c r="D141" s="18" t="str">
        <x:v>行业指数</x:v>
      </x:c>
      <x:c r="E141" s="18" t="str">
        <x:v>get_industry_base_info(...)</x:v>
      </x:c>
      <x:c r="F141" s="18" t="str">
        <x:v>高层 wrapper；底层待取证</x:v>
      </x:c>
      <x:c r="G141" s="18" t="str">
        <x:v>互联网</x:v>
      </x:c>
      <x:c r="H141" s="18" t="str">
        <x:v>是</x:v>
      </x:c>
      <x:c r="I141" s="18" t="str">
        <x:v>低</x:v>
      </x:c>
      <x:c r="J141" s="18" t="str">
        <x:v>INVENTORIED</x:v>
      </x:c>
      <x:c r="K141" s="19" t="n">
        <x:f>IFERROR(VLOOKUP(J141,'状态字典'!$A$5:$B$16,2,FALSE),0)</x:f>
        <x:v>10</x:v>
      </x:c>
      <x:c r="L141" s="18" t="str"/>
      <x:c r="M141" s="18" t="str">
        <x:v>未执行</x:v>
      </x:c>
      <x:c r="N141" s="18" t="str">
        <x:v>—</x:v>
      </x:c>
      <x:c r="O141" s="18" t="str"/>
      <x:c r="P141" s="18" t="str">
        <x:v>待实现/复验</x:v>
      </x:c>
      <x:c r="Q141" s="18" t="str">
        <x:v>INVENTORIED</x:v>
      </x:c>
      <x:c r="R141" s="18" t="str">
        <x:v>单行业；Linux oracle → wire → Mac → 同参</x:v>
      </x:c>
      <x:c r="S141" s="18" t="str">
        <x:v>codes</x:v>
      </x:c>
      <x:c r="T141" s="18" t="str">
        <x:v>df</x:v>
      </x:c>
      <x:c r="U141" s="18" t="str">
        <x:v>无</x:v>
      </x:c>
      <x:c r="V141" s="18" t="str">
        <x:v>docs/PDF_API_INVENTORY.md</x:v>
      </x:c>
      <x:c r="W141" s="18" t="str">
        <x:v>单行业</x:v>
      </x:c>
      <x:c r="X141" s="18" t="str">
        <x:v>同上（疑似 DQS 服务）</x:v>
      </x:c>
      <x:c r="Y141" s="18" t="str"/>
    </x:row>
    <x:row r="142" ht="42" customHeight="1">
      <x:c r="A142" s="20" t="n">
        <x:v>138</x:v>
      </x:c>
      <x:c r="B142" s="18" t="str">
        <x:v>AmazingData 开发手册</x:v>
      </x:c>
      <x:c r="C142" s="18" t="str">
        <x:v>89</x:v>
      </x:c>
      <x:c r="D142" s="18" t="str">
        <x:v>行业指数</x:v>
      </x:c>
      <x:c r="E142" s="18" t="str">
        <x:v>get_industry_constituent(...)</x:v>
      </x:c>
      <x:c r="F142" s="18" t="str">
        <x:v>高层 wrapper；底层待取证</x:v>
      </x:c>
      <x:c r="G142" s="18" t="str">
        <x:v>互联网</x:v>
      </x:c>
      <x:c r="H142" s="18" t="str">
        <x:v>是</x:v>
      </x:c>
      <x:c r="I142" s="18" t="str">
        <x:v>低</x:v>
      </x:c>
      <x:c r="J142" s="18" t="str">
        <x:v>INVENTORIED</x:v>
      </x:c>
      <x:c r="K142" s="19" t="n">
        <x:f>IFERROR(VLOOKUP(J142,'状态字典'!$A$5:$B$16,2,FALSE),0)</x:f>
        <x:v>10</x:v>
      </x:c>
      <x:c r="L142" s="18" t="str"/>
      <x:c r="M142" s="18" t="str">
        <x:v>未执行</x:v>
      </x:c>
      <x:c r="N142" s="18" t="str">
        <x:v>—</x:v>
      </x:c>
      <x:c r="O142" s="18" t="str"/>
      <x:c r="P142" s="18" t="str">
        <x:v>待实现/复验</x:v>
      </x:c>
      <x:c r="Q142" s="18" t="str">
        <x:v>INVENTORIED</x:v>
      </x:c>
      <x:c r="R142" s="18" t="str">
        <x:v>单行业；Linux oracle → wire → Mac → 同参</x:v>
      </x:c>
      <x:c r="S142" s="18" t="str">
        <x:v>同上</x:v>
      </x:c>
      <x:c r="T142" s="18" t="str">
        <x:v>df</x:v>
      </x:c>
      <x:c r="U142" s="18" t="str">
        <x:v>无</x:v>
      </x:c>
      <x:c r="V142" s="18" t="str">
        <x:v>docs/PDF_API_INVENTORY.md</x:v>
      </x:c>
      <x:c r="W142" s="18" t="str">
        <x:v>单行业</x:v>
      </x:c>
      <x:c r="X142" s="18" t="str">
        <x:v>同上</x:v>
      </x:c>
      <x:c r="Y142" s="18" t="str"/>
    </x:row>
    <x:row r="143" ht="42" customHeight="1">
      <x:c r="A143" s="20" t="n">
        <x:v>139</x:v>
      </x:c>
      <x:c r="B143" s="18" t="str">
        <x:v>AmazingData 开发手册</x:v>
      </x:c>
      <x:c r="C143" s="18" t="str">
        <x:v>90</x:v>
      </x:c>
      <x:c r="D143" s="18" t="str">
        <x:v>行业指数</x:v>
      </x:c>
      <x:c r="E143" s="18" t="str">
        <x:v>get_industry_weight(...)</x:v>
      </x:c>
      <x:c r="F143" s="18" t="str">
        <x:v>高层 wrapper；底层待取证</x:v>
      </x:c>
      <x:c r="G143" s="18" t="str">
        <x:v>互联网</x:v>
      </x:c>
      <x:c r="H143" s="18" t="str">
        <x:v>是</x:v>
      </x:c>
      <x:c r="I143" s="18" t="str">
        <x:v>低</x:v>
      </x:c>
      <x:c r="J143" s="18" t="str">
        <x:v>INVENTORIED</x:v>
      </x:c>
      <x:c r="K143" s="19" t="n">
        <x:f>IFERROR(VLOOKUP(J143,'状态字典'!$A$5:$B$16,2,FALSE),0)</x:f>
        <x:v>10</x:v>
      </x:c>
      <x:c r="L143" s="18" t="str"/>
      <x:c r="M143" s="18" t="str">
        <x:v>未执行</x:v>
      </x:c>
      <x:c r="N143" s="18" t="str">
        <x:v>—</x:v>
      </x:c>
      <x:c r="O143" s="18" t="str"/>
      <x:c r="P143" s="18" t="str">
        <x:v>待实现/复验</x:v>
      </x:c>
      <x:c r="Q143" s="18" t="str">
        <x:v>INVENTORIED</x:v>
      </x:c>
      <x:c r="R143" s="18" t="str">
        <x:v>单行业单日；Linux oracle → wire → Mac → 同参</x:v>
      </x:c>
      <x:c r="S143" s="18" t="str">
        <x:v>同上</x:v>
      </x:c>
      <x:c r="T143" s="18" t="str">
        <x:v>df</x:v>
      </x:c>
      <x:c r="U143" s="18" t="str">
        <x:v>无</x:v>
      </x:c>
      <x:c r="V143" s="18" t="str">
        <x:v>docs/PDF_API_INVENTORY.md</x:v>
      </x:c>
      <x:c r="W143" s="18" t="str">
        <x:v>单行业单日</x:v>
      </x:c>
      <x:c r="X143" s="18" t="str">
        <x:v>同上</x:v>
      </x:c>
      <x:c r="Y143" s="18" t="str"/>
    </x:row>
    <x:row r="144" ht="42" customHeight="1">
      <x:c r="A144" s="20" t="n">
        <x:v>140</x:v>
      </x:c>
      <x:c r="B144" s="18" t="str">
        <x:v>AmazingData 开发手册</x:v>
      </x:c>
      <x:c r="C144" s="18" t="str">
        <x:v>91</x:v>
      </x:c>
      <x:c r="D144" s="18" t="str">
        <x:v>行业指数</x:v>
      </x:c>
      <x:c r="E144" s="18" t="str">
        <x:v>get_industry_daily(...)</x:v>
      </x:c>
      <x:c r="F144" s="18" t="str">
        <x:v>高层 wrapper；底层待取证</x:v>
      </x:c>
      <x:c r="G144" s="18" t="str">
        <x:v>互联网</x:v>
      </x:c>
      <x:c r="H144" s="18" t="str">
        <x:v>是</x:v>
      </x:c>
      <x:c r="I144" s="18" t="str">
        <x:v>低</x:v>
      </x:c>
      <x:c r="J144" s="18" t="str">
        <x:v>INVENTORIED</x:v>
      </x:c>
      <x:c r="K144" s="19" t="n">
        <x:f>IFERROR(VLOOKUP(J144,'状态字典'!$A$5:$B$16,2,FALSE),0)</x:f>
        <x:v>10</x:v>
      </x:c>
      <x:c r="L144" s="18" t="str"/>
      <x:c r="M144" s="18" t="str">
        <x:v>未执行</x:v>
      </x:c>
      <x:c r="N144" s="18" t="str">
        <x:v>—</x:v>
      </x:c>
      <x:c r="O144" s="18" t="str"/>
      <x:c r="P144" s="18" t="str">
        <x:v>待实现/复验</x:v>
      </x:c>
      <x:c r="Q144" s="18" t="str">
        <x:v>INVENTORIED</x:v>
      </x:c>
      <x:c r="R144" s="18" t="str">
        <x:v>单行业一日；Linux oracle → wire → Mac → 同参</x:v>
      </x:c>
      <x:c r="S144" s="18" t="str">
        <x:v>同上</x:v>
      </x:c>
      <x:c r="T144" s="18" t="str">
        <x:v>df</x:v>
      </x:c>
      <x:c r="U144" s="18" t="str">
        <x:v>无</x:v>
      </x:c>
      <x:c r="V144" s="18" t="str">
        <x:v>docs/PDF_API_INVENTORY.md</x:v>
      </x:c>
      <x:c r="W144" s="18" t="str">
        <x:v>单行业一日</x:v>
      </x:c>
      <x:c r="X144" s="18" t="str">
        <x:v>同上</x:v>
      </x:c>
      <x:c r="Y144" s="18" t="str"/>
    </x:row>
    <x:row r="145" ht="42" customHeight="1">
      <x:c r="A145" s="20" t="n">
        <x:v>141</x:v>
      </x:c>
      <x:c r="B145" s="18" t="str">
        <x:v>AmazingData 开发手册</x:v>
      </x:c>
      <x:c r="C145" s="18" t="str">
        <x:v>92</x:v>
      </x:c>
      <x:c r="D145" s="18" t="str">
        <x:v>可转债</x:v>
      </x:c>
      <x:c r="E145" s="18" t="str">
        <x:v>get_kzz_issuance(...)</x:v>
      </x:c>
      <x:c r="F145" s="18" t="str">
        <x:v>11 个函数</x:v>
      </x:c>
      <x:c r="G145" s="18" t="str">
        <x:v>互联网</x:v>
      </x:c>
      <x:c r="H145" s="18" t="str">
        <x:v>是</x:v>
      </x:c>
      <x:c r="I145" s="18" t="str">
        <x:v>低</x:v>
      </x:c>
      <x:c r="J145" s="18" t="str">
        <x:v>INVENTORIED</x:v>
      </x:c>
      <x:c r="K145" s="19" t="n">
        <x:f>IFERROR(VLOOKUP(J145,'状态字典'!$A$5:$B$16,2,FALSE),0)</x:f>
        <x:v>10</x:v>
      </x:c>
      <x:c r="L145" s="18" t="str"/>
      <x:c r="M145" s="18" t="str">
        <x:v>未执行</x:v>
      </x:c>
      <x:c r="N145" s="18" t="str">
        <x:v>—</x:v>
      </x:c>
      <x:c r="O145" s="18" t="str"/>
      <x:c r="P145" s="18" t="str">
        <x:v>待实现/复验</x:v>
      </x:c>
      <x:c r="Q145" s="18" t="str">
        <x:v>INVENTORIED</x:v>
      </x:c>
      <x:c r="R145" s="18" t="str">
        <x:v>单转债；Linux oracle → wire → Mac → 同参</x:v>
      </x:c>
      <x:c r="S145" s="18" t="str">
        <x:v>codes+缓存组</x:v>
      </x:c>
      <x:c r="T145" s="18" t="str">
        <x:v>df</x:v>
      </x:c>
      <x:c r="U145" s="18" t="str">
        <x:v>无</x:v>
      </x:c>
      <x:c r="V145" s="18" t="str">
        <x:v>docs/PDF_API_INVENTORY.md</x:v>
      </x:c>
      <x:c r="W145" s="18" t="str">
        <x:v>单转债</x:v>
      </x:c>
      <x:c r="X145" s="18" t="str">
        <x:v>TGW 手册无对应；可转债族共 11 个函数</x:v>
      </x:c>
      <x:c r="Y145" s="18" t="str"/>
    </x:row>
    <x:row r="146" ht="42" customHeight="1">
      <x:c r="A146" s="20" t="n">
        <x:v>142</x:v>
      </x:c>
      <x:c r="B146" s="18" t="str">
        <x:v>AmazingData 开发手册</x:v>
      </x:c>
      <x:c r="C146" s="18" t="str">
        <x:v>96</x:v>
      </x:c>
      <x:c r="D146" s="18" t="str">
        <x:v>可转债</x:v>
      </x:c>
      <x:c r="E146" s="18" t="str">
        <x:v>get_kzz_share(...)</x:v>
      </x:c>
      <x:c r="F146" s="18" t="str">
        <x:v>高层 wrapper；底层待取证</x:v>
      </x:c>
      <x:c r="G146" s="18" t="str">
        <x:v>互联网</x:v>
      </x:c>
      <x:c r="H146" s="18" t="str">
        <x:v>是</x:v>
      </x:c>
      <x:c r="I146" s="18" t="str">
        <x:v>低</x:v>
      </x:c>
      <x:c r="J146" s="18" t="str">
        <x:v>INVENTORIED</x:v>
      </x:c>
      <x:c r="K146" s="19" t="n">
        <x:f>IFERROR(VLOOKUP(J146,'状态字典'!$A$5:$B$16,2,FALSE),0)</x:f>
        <x:v>10</x:v>
      </x:c>
      <x:c r="L146" s="18" t="str"/>
      <x:c r="M146" s="18" t="str">
        <x:v>未执行</x:v>
      </x:c>
      <x:c r="N146" s="18" t="str">
        <x:v>—</x:v>
      </x:c>
      <x:c r="O146" s="18" t="str"/>
      <x:c r="P146" s="18" t="str">
        <x:v>待实现/复验</x:v>
      </x:c>
      <x:c r="Q146" s="18" t="str">
        <x:v>INVENTORIED</x:v>
      </x:c>
      <x:c r="R146" s="18" t="str">
        <x:v>单转债；Linux oracle → wire → Mac → 同参</x:v>
      </x:c>
      <x:c r="S146" s="18" t="str">
        <x:v>同上</x:v>
      </x:c>
      <x:c r="T146" s="18" t="str">
        <x:v>df</x:v>
      </x:c>
      <x:c r="U146" s="18" t="str">
        <x:v>无</x:v>
      </x:c>
      <x:c r="V146" s="18" t="str">
        <x:v>docs/PDF_API_INVENTORY.md</x:v>
      </x:c>
      <x:c r="W146" s="18" t="str">
        <x:v>单转债</x:v>
      </x:c>
      <x:c r="X146" s="18" t="str">
        <x:v>同上</x:v>
      </x:c>
      <x:c r="Y146" s="18" t="str"/>
    </x:row>
    <x:row r="147" ht="42" customHeight="1">
      <x:c r="A147" s="20" t="n">
        <x:v>143</x:v>
      </x:c>
      <x:c r="B147" s="18" t="str">
        <x:v>AmazingData 开发手册</x:v>
      </x:c>
      <x:c r="C147" s="18" t="str">
        <x:v>98</x:v>
      </x:c>
      <x:c r="D147" s="18" t="str">
        <x:v>可转债</x:v>
      </x:c>
      <x:c r="E147" s="18" t="str">
        <x:v>get_kzz_conv(...)</x:v>
      </x:c>
      <x:c r="F147" s="18" t="str">
        <x:v>高层 wrapper；底层待取证</x:v>
      </x:c>
      <x:c r="G147" s="18" t="str">
        <x:v>互联网</x:v>
      </x:c>
      <x:c r="H147" s="18" t="str">
        <x:v>是</x:v>
      </x:c>
      <x:c r="I147" s="18" t="str">
        <x:v>低</x:v>
      </x:c>
      <x:c r="J147" s="18" t="str">
        <x:v>INVENTORIED</x:v>
      </x:c>
      <x:c r="K147" s="19" t="n">
        <x:f>IFERROR(VLOOKUP(J147,'状态字典'!$A$5:$B$16,2,FALSE),0)</x:f>
        <x:v>10</x:v>
      </x:c>
      <x:c r="L147" s="18" t="str"/>
      <x:c r="M147" s="18" t="str">
        <x:v>未执行</x:v>
      </x:c>
      <x:c r="N147" s="18" t="str">
        <x:v>—</x:v>
      </x:c>
      <x:c r="O147" s="18" t="str"/>
      <x:c r="P147" s="18" t="str">
        <x:v>待实现/复验</x:v>
      </x:c>
      <x:c r="Q147" s="18" t="str">
        <x:v>INVENTORIED</x:v>
      </x:c>
      <x:c r="R147" s="18" t="str">
        <x:v>单转债；Linux oracle → wire → Mac → 同参</x:v>
      </x:c>
      <x:c r="S147" s="18" t="str">
        <x:v>同上</x:v>
      </x:c>
      <x:c r="T147" s="18" t="str">
        <x:v>df</x:v>
      </x:c>
      <x:c r="U147" s="18" t="str">
        <x:v>无</x:v>
      </x:c>
      <x:c r="V147" s="18" t="str">
        <x:v>docs/PDF_API_INVENTORY.md</x:v>
      </x:c>
      <x:c r="W147" s="18" t="str">
        <x:v>单转债</x:v>
      </x:c>
      <x:c r="X147" s="18" t="str">
        <x:v>同上</x:v>
      </x:c>
      <x:c r="Y147" s="18" t="str"/>
    </x:row>
    <x:row r="148" ht="42" customHeight="1">
      <x:c r="A148" s="20" t="n">
        <x:v>144</x:v>
      </x:c>
      <x:c r="B148" s="18" t="str">
        <x:v>AmazingData 开发手册</x:v>
      </x:c>
      <x:c r="C148" s="18" t="str">
        <x:v>99</x:v>
      </x:c>
      <x:c r="D148" s="18" t="str">
        <x:v>可转债</x:v>
      </x:c>
      <x:c r="E148" s="18" t="str">
        <x:v>get_kzz_conv_change(...)</x:v>
      </x:c>
      <x:c r="F148" s="18" t="str">
        <x:v>高层 wrapper；底层待取证</x:v>
      </x:c>
      <x:c r="G148" s="18" t="str">
        <x:v>互联网</x:v>
      </x:c>
      <x:c r="H148" s="18" t="str">
        <x:v>是</x:v>
      </x:c>
      <x:c r="I148" s="18" t="str">
        <x:v>低</x:v>
      </x:c>
      <x:c r="J148" s="18" t="str">
        <x:v>INVENTORIED</x:v>
      </x:c>
      <x:c r="K148" s="19" t="n">
        <x:f>IFERROR(VLOOKUP(J148,'状态字典'!$A$5:$B$16,2,FALSE),0)</x:f>
        <x:v>10</x:v>
      </x:c>
      <x:c r="L148" s="18" t="str"/>
      <x:c r="M148" s="18" t="str">
        <x:v>未执行</x:v>
      </x:c>
      <x:c r="N148" s="18" t="str">
        <x:v>—</x:v>
      </x:c>
      <x:c r="O148" s="18" t="str"/>
      <x:c r="P148" s="18" t="str">
        <x:v>待实现/复验</x:v>
      </x:c>
      <x:c r="Q148" s="18" t="str">
        <x:v>INVENTORIED</x:v>
      </x:c>
      <x:c r="R148" s="18" t="str">
        <x:v>单转债；Linux oracle → wire → Mac → 同参</x:v>
      </x:c>
      <x:c r="S148" s="18" t="str">
        <x:v>同上</x:v>
      </x:c>
      <x:c r="T148" s="18" t="str">
        <x:v>df</x:v>
      </x:c>
      <x:c r="U148" s="18" t="str">
        <x:v>无</x:v>
      </x:c>
      <x:c r="V148" s="18" t="str">
        <x:v>docs/PDF_API_INVENTORY.md</x:v>
      </x:c>
      <x:c r="W148" s="18" t="str">
        <x:v>单转债</x:v>
      </x:c>
      <x:c r="X148" s="18" t="str">
        <x:v>同上</x:v>
      </x:c>
      <x:c r="Y148" s="18" t="str"/>
    </x:row>
    <x:row r="149" ht="42" customHeight="1">
      <x:c r="A149" s="20" t="n">
        <x:v>145</x:v>
      </x:c>
      <x:c r="B149" s="18" t="str">
        <x:v>AmazingData 开发手册</x:v>
      </x:c>
      <x:c r="C149" s="18" t="str">
        <x:v>101</x:v>
      </x:c>
      <x:c r="D149" s="18" t="str">
        <x:v>可转债</x:v>
      </x:c>
      <x:c r="E149" s="18" t="str">
        <x:v>get_kzz_corr(...)</x:v>
      </x:c>
      <x:c r="F149" s="18" t="str">
        <x:v>高层 wrapper；底层待取证</x:v>
      </x:c>
      <x:c r="G149" s="18" t="str">
        <x:v>互联网</x:v>
      </x:c>
      <x:c r="H149" s="18" t="str">
        <x:v>是</x:v>
      </x:c>
      <x:c r="I149" s="18" t="str">
        <x:v>低</x:v>
      </x:c>
      <x:c r="J149" s="18" t="str">
        <x:v>INVENTORIED</x:v>
      </x:c>
      <x:c r="K149" s="19" t="n">
        <x:f>IFERROR(VLOOKUP(J149,'状态字典'!$A$5:$B$16,2,FALSE),0)</x:f>
        <x:v>10</x:v>
      </x:c>
      <x:c r="L149" s="18" t="str"/>
      <x:c r="M149" s="18" t="str">
        <x:v>未执行</x:v>
      </x:c>
      <x:c r="N149" s="18" t="str">
        <x:v>—</x:v>
      </x:c>
      <x:c r="O149" s="18" t="str"/>
      <x:c r="P149" s="18" t="str">
        <x:v>待实现/复验</x:v>
      </x:c>
      <x:c r="Q149" s="18" t="str">
        <x:v>INVENTORIED</x:v>
      </x:c>
      <x:c r="R149" s="18" t="str">
        <x:v>单转债；Linux oracle → wire → Mac → 同参</x:v>
      </x:c>
      <x:c r="S149" s="18" t="str">
        <x:v>同上</x:v>
      </x:c>
      <x:c r="T149" s="18" t="str">
        <x:v>df</x:v>
      </x:c>
      <x:c r="U149" s="18" t="str">
        <x:v>无</x:v>
      </x:c>
      <x:c r="V149" s="18" t="str">
        <x:v>docs/PDF_API_INVENTORY.md</x:v>
      </x:c>
      <x:c r="W149" s="18" t="str">
        <x:v>单转债</x:v>
      </x:c>
      <x:c r="X149" s="18" t="str">
        <x:v>同上</x:v>
      </x:c>
      <x:c r="Y149" s="18" t="str"/>
    </x:row>
    <x:row r="150" ht="42" customHeight="1">
      <x:c r="A150" s="20" t="n">
        <x:v>146</x:v>
      </x:c>
      <x:c r="B150" s="18" t="str">
        <x:v>AmazingData 开发手册</x:v>
      </x:c>
      <x:c r="C150" s="18" t="str">
        <x:v>102</x:v>
      </x:c>
      <x:c r="D150" s="18" t="str">
        <x:v>可转债</x:v>
      </x:c>
      <x:c r="E150" s="18" t="str">
        <x:v>get_kzz_call(...)</x:v>
      </x:c>
      <x:c r="F150" s="18" t="str">
        <x:v>高层 wrapper；底层待取证</x:v>
      </x:c>
      <x:c r="G150" s="18" t="str">
        <x:v>互联网</x:v>
      </x:c>
      <x:c r="H150" s="18" t="str">
        <x:v>是</x:v>
      </x:c>
      <x:c r="I150" s="18" t="str">
        <x:v>低</x:v>
      </x:c>
      <x:c r="J150" s="18" t="str">
        <x:v>INVENTORIED</x:v>
      </x:c>
      <x:c r="K150" s="19" t="n">
        <x:f>IFERROR(VLOOKUP(J150,'状态字典'!$A$5:$B$16,2,FALSE),0)</x:f>
        <x:v>10</x:v>
      </x:c>
      <x:c r="L150" s="18" t="str"/>
      <x:c r="M150" s="18" t="str">
        <x:v>未执行</x:v>
      </x:c>
      <x:c r="N150" s="18" t="str">
        <x:v>—</x:v>
      </x:c>
      <x:c r="O150" s="18" t="str"/>
      <x:c r="P150" s="18" t="str">
        <x:v>待实现/复验</x:v>
      </x:c>
      <x:c r="Q150" s="18" t="str">
        <x:v>INVENTORIED</x:v>
      </x:c>
      <x:c r="R150" s="18" t="str">
        <x:v>单转债；Linux oracle → wire → Mac → 同参</x:v>
      </x:c>
      <x:c r="S150" s="18" t="str">
        <x:v>同上</x:v>
      </x:c>
      <x:c r="T150" s="18" t="str">
        <x:v>df</x:v>
      </x:c>
      <x:c r="U150" s="18" t="str">
        <x:v>无</x:v>
      </x:c>
      <x:c r="V150" s="18" t="str">
        <x:v>docs/PDF_API_INVENTORY.md</x:v>
      </x:c>
      <x:c r="W150" s="18" t="str">
        <x:v>单转债</x:v>
      </x:c>
      <x:c r="X150" s="18" t="str">
        <x:v>同上</x:v>
      </x:c>
      <x:c r="Y150" s="18" t="str"/>
    </x:row>
    <x:row r="151" ht="42" customHeight="1">
      <x:c r="A151" s="20" t="n">
        <x:v>147</x:v>
      </x:c>
      <x:c r="B151" s="18" t="str">
        <x:v>AmazingData 开发手册</x:v>
      </x:c>
      <x:c r="C151" s="18" t="str">
        <x:v>103</x:v>
      </x:c>
      <x:c r="D151" s="18" t="str">
        <x:v>可转债</x:v>
      </x:c>
      <x:c r="E151" s="18" t="str">
        <x:v>get_kzz_put(...)</x:v>
      </x:c>
      <x:c r="F151" s="18" t="str">
        <x:v>高层 wrapper；底层待取证</x:v>
      </x:c>
      <x:c r="G151" s="18" t="str">
        <x:v>互联网</x:v>
      </x:c>
      <x:c r="H151" s="18" t="str">
        <x:v>是</x:v>
      </x:c>
      <x:c r="I151" s="18" t="str">
        <x:v>低</x:v>
      </x:c>
      <x:c r="J151" s="18" t="str">
        <x:v>INVENTORIED</x:v>
      </x:c>
      <x:c r="K151" s="19" t="n">
        <x:f>IFERROR(VLOOKUP(J151,'状态字典'!$A$5:$B$16,2,FALSE),0)</x:f>
        <x:v>10</x:v>
      </x:c>
      <x:c r="L151" s="18" t="str"/>
      <x:c r="M151" s="18" t="str">
        <x:v>未执行</x:v>
      </x:c>
      <x:c r="N151" s="18" t="str">
        <x:v>—</x:v>
      </x:c>
      <x:c r="O151" s="18" t="str"/>
      <x:c r="P151" s="18" t="str">
        <x:v>待实现/复验</x:v>
      </x:c>
      <x:c r="Q151" s="18" t="str">
        <x:v>INVENTORIED</x:v>
      </x:c>
      <x:c r="R151" s="18" t="str">
        <x:v>单转债；Linux oracle → wire → Mac → 同参</x:v>
      </x:c>
      <x:c r="S151" s="18" t="str">
        <x:v>同上</x:v>
      </x:c>
      <x:c r="T151" s="18" t="str">
        <x:v>df</x:v>
      </x:c>
      <x:c r="U151" s="18" t="str">
        <x:v>无</x:v>
      </x:c>
      <x:c r="V151" s="18" t="str">
        <x:v>docs/PDF_API_INVENTORY.md</x:v>
      </x:c>
      <x:c r="W151" s="18" t="str">
        <x:v>单转债</x:v>
      </x:c>
      <x:c r="X151" s="18" t="str">
        <x:v>同上</x:v>
      </x:c>
      <x:c r="Y151" s="18" t="str"/>
    </x:row>
    <x:row r="152" ht="42" customHeight="1">
      <x:c r="A152" s="20" t="n">
        <x:v>148</x:v>
      </x:c>
      <x:c r="B152" s="18" t="str">
        <x:v>AmazingData 开发手册</x:v>
      </x:c>
      <x:c r="C152" s="18" t="str">
        <x:v>104</x:v>
      </x:c>
      <x:c r="D152" s="18" t="str">
        <x:v>可转债</x:v>
      </x:c>
      <x:c r="E152" s="18" t="str">
        <x:v>get_kzz_put_call_item(...)</x:v>
      </x:c>
      <x:c r="F152" s="18" t="str">
        <x:v>高层 wrapper；底层待取证</x:v>
      </x:c>
      <x:c r="G152" s="18" t="str">
        <x:v>互联网</x:v>
      </x:c>
      <x:c r="H152" s="18" t="str">
        <x:v>是</x:v>
      </x:c>
      <x:c r="I152" s="18" t="str">
        <x:v>低</x:v>
      </x:c>
      <x:c r="J152" s="18" t="str">
        <x:v>INVENTORIED</x:v>
      </x:c>
      <x:c r="K152" s="19" t="n">
        <x:f>IFERROR(VLOOKUP(J152,'状态字典'!$A$5:$B$16,2,FALSE),0)</x:f>
        <x:v>10</x:v>
      </x:c>
      <x:c r="L152" s="18" t="str"/>
      <x:c r="M152" s="18" t="str">
        <x:v>未执行</x:v>
      </x:c>
      <x:c r="N152" s="18" t="str">
        <x:v>—</x:v>
      </x:c>
      <x:c r="O152" s="18" t="str"/>
      <x:c r="P152" s="18" t="str">
        <x:v>待实现/复验</x:v>
      </x:c>
      <x:c r="Q152" s="18" t="str">
        <x:v>INVENTORIED</x:v>
      </x:c>
      <x:c r="R152" s="18" t="str">
        <x:v>单转债；Linux oracle → wire → Mac → 同参</x:v>
      </x:c>
      <x:c r="S152" s="18" t="str">
        <x:v>同上</x:v>
      </x:c>
      <x:c r="T152" s="18" t="str">
        <x:v>df</x:v>
      </x:c>
      <x:c r="U152" s="18" t="str">
        <x:v>无</x:v>
      </x:c>
      <x:c r="V152" s="18" t="str">
        <x:v>docs/PDF_API_INVENTORY.md</x:v>
      </x:c>
      <x:c r="W152" s="18" t="str">
        <x:v>单转债</x:v>
      </x:c>
      <x:c r="X152" s="18" t="str">
        <x:v>同上</x:v>
      </x:c>
      <x:c r="Y152" s="18" t="str"/>
    </x:row>
    <x:row r="153" ht="42" customHeight="1">
      <x:c r="A153" s="20" t="n">
        <x:v>149</x:v>
      </x:c>
      <x:c r="B153" s="18" t="str">
        <x:v>AmazingData 开发手册</x:v>
      </x:c>
      <x:c r="C153" s="18" t="str">
        <x:v>106</x:v>
      </x:c>
      <x:c r="D153" s="18" t="str">
        <x:v>可转债</x:v>
      </x:c>
      <x:c r="E153" s="18" t="str">
        <x:v>get_kzz_put_explanation(...)</x:v>
      </x:c>
      <x:c r="F153" s="18" t="str">
        <x:v>高层 wrapper；底层待取证</x:v>
      </x:c>
      <x:c r="G153" s="18" t="str">
        <x:v>互联网</x:v>
      </x:c>
      <x:c r="H153" s="18" t="str">
        <x:v>是</x:v>
      </x:c>
      <x:c r="I153" s="18" t="str">
        <x:v>低</x:v>
      </x:c>
      <x:c r="J153" s="18" t="str">
        <x:v>INVENTORIED</x:v>
      </x:c>
      <x:c r="K153" s="19" t="n">
        <x:f>IFERROR(VLOOKUP(J153,'状态字典'!$A$5:$B$16,2,FALSE),0)</x:f>
        <x:v>10</x:v>
      </x:c>
      <x:c r="L153" s="18" t="str"/>
      <x:c r="M153" s="18" t="str">
        <x:v>未执行</x:v>
      </x:c>
      <x:c r="N153" s="18" t="str">
        <x:v>—</x:v>
      </x:c>
      <x:c r="O153" s="18" t="str"/>
      <x:c r="P153" s="18" t="str">
        <x:v>待实现/复验</x:v>
      </x:c>
      <x:c r="Q153" s="18" t="str">
        <x:v>INVENTORIED</x:v>
      </x:c>
      <x:c r="R153" s="18" t="str">
        <x:v>单转债；Linux oracle → wire → Mac → 同参</x:v>
      </x:c>
      <x:c r="S153" s="18" t="str">
        <x:v>同上</x:v>
      </x:c>
      <x:c r="T153" s="18" t="str">
        <x:v>df</x:v>
      </x:c>
      <x:c r="U153" s="18" t="str">
        <x:v>无</x:v>
      </x:c>
      <x:c r="V153" s="18" t="str">
        <x:v>docs/PDF_API_INVENTORY.md</x:v>
      </x:c>
      <x:c r="W153" s="18" t="str">
        <x:v>单转债</x:v>
      </x:c>
      <x:c r="X153" s="18" t="str">
        <x:v>同上</x:v>
      </x:c>
      <x:c r="Y153" s="18" t="str"/>
    </x:row>
    <x:row r="154" ht="42" customHeight="1">
      <x:c r="A154" s="20" t="n">
        <x:v>150</x:v>
      </x:c>
      <x:c r="B154" s="18" t="str">
        <x:v>AmazingData 开发手册</x:v>
      </x:c>
      <x:c r="C154" s="18" t="str">
        <x:v>107</x:v>
      </x:c>
      <x:c r="D154" s="18" t="str">
        <x:v>可转债</x:v>
      </x:c>
      <x:c r="E154" s="18" t="str">
        <x:v>get_kzz_call_explanation(...)</x:v>
      </x:c>
      <x:c r="F154" s="18" t="str">
        <x:v>高层 wrapper；底层待取证</x:v>
      </x:c>
      <x:c r="G154" s="18" t="str">
        <x:v>互联网</x:v>
      </x:c>
      <x:c r="H154" s="18" t="str">
        <x:v>是</x:v>
      </x:c>
      <x:c r="I154" s="18" t="str">
        <x:v>低</x:v>
      </x:c>
      <x:c r="J154" s="18" t="str">
        <x:v>INVENTORIED</x:v>
      </x:c>
      <x:c r="K154" s="19" t="n">
        <x:f>IFERROR(VLOOKUP(J154,'状态字典'!$A$5:$B$16,2,FALSE),0)</x:f>
        <x:v>10</x:v>
      </x:c>
      <x:c r="L154" s="18" t="str"/>
      <x:c r="M154" s="18" t="str">
        <x:v>未执行</x:v>
      </x:c>
      <x:c r="N154" s="18" t="str">
        <x:v>—</x:v>
      </x:c>
      <x:c r="O154" s="18" t="str"/>
      <x:c r="P154" s="18" t="str">
        <x:v>待实现/复验</x:v>
      </x:c>
      <x:c r="Q154" s="18" t="str">
        <x:v>INVENTORIED</x:v>
      </x:c>
      <x:c r="R154" s="18" t="str">
        <x:v>单转债；Linux oracle → wire → Mac → 同参</x:v>
      </x:c>
      <x:c r="S154" s="18" t="str">
        <x:v>同上</x:v>
      </x:c>
      <x:c r="T154" s="18" t="str">
        <x:v>df</x:v>
      </x:c>
      <x:c r="U154" s="18" t="str">
        <x:v>无</x:v>
      </x:c>
      <x:c r="V154" s="18" t="str">
        <x:v>docs/PDF_API_INVENTORY.md</x:v>
      </x:c>
      <x:c r="W154" s="18" t="str">
        <x:v>单转债</x:v>
      </x:c>
      <x:c r="X154" s="18" t="str">
        <x:v>同上</x:v>
      </x:c>
      <x:c r="Y154" s="18" t="str"/>
    </x:row>
    <x:row r="155" ht="42" customHeight="1">
      <x:c r="A155" s="20" t="n">
        <x:v>151</x:v>
      </x:c>
      <x:c r="B155" s="18" t="str">
        <x:v>AmazingData 开发手册</x:v>
      </x:c>
      <x:c r="C155" s="18" t="str">
        <x:v>108</x:v>
      </x:c>
      <x:c r="D155" s="18" t="str">
        <x:v>可转债</x:v>
      </x:c>
      <x:c r="E155" s="18" t="str">
        <x:v>get_kzz_suspend(...)</x:v>
      </x:c>
      <x:c r="F155" s="18" t="str">
        <x:v>高层 wrapper；底层待取证</x:v>
      </x:c>
      <x:c r="G155" s="18" t="str">
        <x:v>互联网</x:v>
      </x:c>
      <x:c r="H155" s="18" t="str">
        <x:v>是</x:v>
      </x:c>
      <x:c r="I155" s="18" t="str">
        <x:v>低</x:v>
      </x:c>
      <x:c r="J155" s="18" t="str">
        <x:v>INVENTORIED</x:v>
      </x:c>
      <x:c r="K155" s="19" t="n">
        <x:f>IFERROR(VLOOKUP(J155,'状态字典'!$A$5:$B$16,2,FALSE),0)</x:f>
        <x:v>10</x:v>
      </x:c>
      <x:c r="L155" s="18" t="str"/>
      <x:c r="M155" s="18" t="str">
        <x:v>未执行</x:v>
      </x:c>
      <x:c r="N155" s="18" t="str">
        <x:v>—</x:v>
      </x:c>
      <x:c r="O155" s="18" t="str"/>
      <x:c r="P155" s="18" t="str">
        <x:v>待实现/复验</x:v>
      </x:c>
      <x:c r="Q155" s="18" t="str">
        <x:v>INVENTORIED</x:v>
      </x:c>
      <x:c r="R155" s="18" t="str">
        <x:v>单转债；Linux oracle → wire → Mac → 同参</x:v>
      </x:c>
      <x:c r="S155" s="18" t="str">
        <x:v>同上</x:v>
      </x:c>
      <x:c r="T155" s="18" t="str">
        <x:v>df</x:v>
      </x:c>
      <x:c r="U155" s="18" t="str">
        <x:v>无</x:v>
      </x:c>
      <x:c r="V155" s="18" t="str">
        <x:v>docs/PDF_API_INVENTORY.md</x:v>
      </x:c>
      <x:c r="W155" s="18" t="str">
        <x:v>单转债</x:v>
      </x:c>
      <x:c r="X155" s="18" t="str">
        <x:v>同上</x:v>
      </x:c>
      <x:c r="Y155" s="18" t="str"/>
    </x:row>
    <x:row r="156" ht="42" customHeight="1">
      <x:c r="A156" s="20" t="n">
        <x:v>152</x:v>
      </x:c>
      <x:c r="B156" s="18" t="str">
        <x:v>AmazingData 开发手册</x:v>
      </x:c>
      <x:c r="C156" s="18" t="str">
        <x:v>110</x:v>
      </x:c>
      <x:c r="D156" s="18" t="str">
        <x:v>利率</x:v>
      </x:c>
      <x:c r="E156" s="18" t="str">
        <x:v>get_treasury_yield(...)</x:v>
      </x:c>
      <x:c r="F156" s="18" t="str">
        <x:v>高层 wrapper；底层待取证</x:v>
      </x:c>
      <x:c r="G156" s="18" t="str">
        <x:v>互联网</x:v>
      </x:c>
      <x:c r="H156" s="18" t="str">
        <x:v>是</x:v>
      </x:c>
      <x:c r="I156" s="18" t="str">
        <x:v>低</x:v>
      </x:c>
      <x:c r="J156" s="18" t="str">
        <x:v>INVENTORIED</x:v>
      </x:c>
      <x:c r="K156" s="19" t="n">
        <x:f>IFERROR(VLOOKUP(J156,'状态字典'!$A$5:$B$16,2,FALSE),0)</x:f>
        <x:v>10</x:v>
      </x:c>
      <x:c r="L156" s="18" t="str"/>
      <x:c r="M156" s="18" t="str">
        <x:v>未执行</x:v>
      </x:c>
      <x:c r="N156" s="18" t="str">
        <x:v>—</x:v>
      </x:c>
      <x:c r="O156" s="18" t="str"/>
      <x:c r="P156" s="18" t="str">
        <x:v>待实现/复验</x:v>
      </x:c>
      <x:c r="Q156" s="18" t="str">
        <x:v>INVENTORIED</x:v>
      </x:c>
      <x:c r="R156" s="18" t="str">
        <x:v>单日全期限；Linux oracle → wire → Mac → 同参</x:v>
      </x:c>
      <x:c r="S156" s="18" t="str">
        <x:v>缓存组</x:v>
      </x:c>
      <x:c r="T156" s="18" t="str">
        <x:v>df</x:v>
      </x:c>
      <x:c r="U156" s="18" t="str">
        <x:v>无</x:v>
      </x:c>
      <x:c r="V156" s="18" t="str">
        <x:v>docs/PDF_API_INVENTORY.md</x:v>
      </x:c>
      <x:c r="W156" s="18" t="str">
        <x:v>单日全期限</x:v>
      </x:c>
      <x:c r="X156" s="18" t="str">
        <x:v>TGW 手册无对应</x:v>
      </x:c>
      <x:c r="Y156" s="18" t="str"/>
    </x:row>
    <x:row r="157" ht="42" customHeight="1">
      <x:c r="A157" s="20" t="n">
        <x:v>153</x:v>
      </x:c>
      <x:c r="B157" s="18" t="str">
        <x:v>AmazingData 开发手册</x:v>
      </x:c>
      <x:c r="C157" s="18" t="str">
        <x:v>111–131</x:v>
      </x:c>
      <x:c r="D157" s="18" t="str">
        <x:v>本地算子</x:v>
      </x:c>
      <x:c r="E157" s="18" t="str">
        <x:v>MathFunction/StatFunction/TimeSeries/CrossSection（ABS…WMA 等约百个 Series 算子）</x:v>
      </x:c>
      <x:c r="F157" s="18" t="str">
        <x:v>高层 wrapper；底层待取证</x:v>
      </x:c>
      <x:c r="G157" s="18" t="str">
        <x:v>本地计算</x:v>
      </x:c>
      <x:c r="H157" s="18" t="str">
        <x:v>是</x:v>
      </x:c>
      <x:c r="I157" s="18" t="str">
        <x:v>低</x:v>
      </x:c>
      <x:c r="J157" s="18" t="str">
        <x:v>INVENTORIED</x:v>
      </x:c>
      <x:c r="K157" s="19" t="n">
        <x:f>IFERROR(VLOOKUP(J157,'状态字典'!$A$5:$B$16,2,FALSE),0)</x:f>
        <x:v>10</x:v>
      </x:c>
      <x:c r="L157" s="18" t="str"/>
      <x:c r="M157" s="18" t="str">
        <x:v>未执行</x:v>
      </x:c>
      <x:c r="N157" s="18" t="str">
        <x:v>无网络交互</x:v>
      </x:c>
      <x:c r="O157" s="18" t="str"/>
      <x:c r="P157" s="18" t="str">
        <x:v>待实现/复验</x:v>
      </x:c>
      <x:c r="Q157" s="18" t="str">
        <x:v>INVENTORIED（不属于服务端数据获取面）</x:v>
      </x:c>
      <x:c r="R157" s="18" t="str">
        <x:v>单算子冒烟；Linux oracle → wire → Mac → 同参</x:v>
      </x:c>
      <x:c r="S157" s="18" t="str">
        <x:v>Series/DataFrame</x:v>
      </x:c>
      <x:c r="T157" s="18" t="str">
        <x:v>Series</x:v>
      </x:c>
      <x:c r="U157" s="18" t="str">
        <x:v>无</x:v>
      </x:c>
      <x:c r="V157" s="18" t="str">
        <x:v>docs/PDF_API_INVENTORY.md</x:v>
      </x:c>
      <x:c r="W157" s="18" t="str">
        <x:v>单算子冒烟</x:v>
      </x:c>
      <x:c r="X157" s="18" t="str">
        <x:v>依赖 pandas；与 parity 工作流无关，不建议纳入对齐范围</x:v>
      </x:c>
      <x:c r="Y157" s="18" t="str"/>
    </x:row>
    <x:row r="158" ht="42" customHeight="1">
      <x:c r="A158" s="20" t="n">
        <x:v>154</x:v>
      </x:c>
      <x:c r="B158" s="18" t="str">
        <x:v>AmazingData 开发手册</x:v>
      </x:c>
      <x:c r="C158" s="18" t="str">
        <x:v>133–139</x:v>
      </x:c>
      <x:c r="D158" s="18" t="str">
        <x:v>附录</x:v>
      </x:c>
      <x:c r="E158" s="18" t="str">
        <x:v>security_type/market/trading_phase/security_status/REPORT_TYPE/STATEMENT_TYPE/DIV_PROGRESS/PROGRESS 文字表</x:v>
      </x:c>
      <x:c r="F158" s="18" t="str">
        <x:v>高层 wrapper；底层待取证</x:v>
      </x:c>
      <x:c r="G158" s="18" t="str">
        <x:v>参考</x:v>
      </x:c>
      <x:c r="H158" s="18" t="str">
        <x:v>是</x:v>
      </x:c>
      <x:c r="I158" s="18" t="str">
        <x:v>低</x:v>
      </x:c>
      <x:c r="J158" s="18" t="str">
        <x:v>INVENTORIED</x:v>
      </x:c>
      <x:c r="K158" s="19" t="n">
        <x:f>IFERROR(VLOOKUP(J158,'状态字典'!$A$5:$B$16,2,FALSE),0)</x:f>
        <x:v>10</x:v>
      </x:c>
      <x:c r="L158" s="18" t="str"/>
      <x:c r="M158" s="18" t="str">
        <x:v>未执行</x:v>
      </x:c>
      <x:c r="N158" s="18" t="str">
        <x:v>STATEMENT_TYPE 1..91</x:v>
      </x:c>
      <x:c r="O158" s="18" t="str"/>
      <x:c r="P158" s="18" t="str">
        <x:v>待实现/复验</x:v>
      </x:c>
      <x:c r="Q158" s="18" t="str">
        <x:v>INVENTORIED</x:v>
      </x:c>
      <x:c r="R158" s="18" t="str">
        <x:v>—；Linux oracle → wire → Mac → 同参</x:v>
      </x:c>
      <x:c r="S158" s="18" t="str">
        <x:v>—</x:v>
      </x:c>
      <x:c r="T158" s="18" t="str">
        <x:v>—</x:v>
      </x:c>
      <x:c r="U158" s="18" t="str">
        <x:v>—</x:v>
      </x:c>
      <x:c r="V158" s="18" t="str">
        <x:v>docs/PDF_API_INVENTORY.md</x:v>
      </x:c>
      <x:c r="W158" s="18" t="str">
        <x:v>—</x:v>
      </x:c>
      <x:c r="X158" s="18" t="str">
        <x:v>多为文字描述，无数值化枚举，自动化校验困难</x:v>
      </x:c>
      <x:c r="Y158" s="18" t="str"/>
    </x:row>
    <x:row r="159" ht="42" customHeight="1">
      <x:c r="A159" s="20" t="n">
        <x:v>155</x:v>
      </x:c>
      <x:c r="B159" s="18" t="str">
        <x:v>AmazingData 开发手册</x:v>
      </x:c>
      <x:c r="C159" s="18" t="str">
        <x:v>136</x:v>
      </x:c>
      <x:c r="D159" s="18" t="str">
        <x:v>附录</x:v>
      </x:c>
      <x:c r="E159" s="18" t="str">
        <x:v>Period 枚举</x:v>
      </x:c>
      <x:c r="F159" s="18" t="str">
        <x:v>高层 wrapper；底层待取证</x:v>
      </x:c>
      <x:c r="G159" s="18" t="str">
        <x:v>min1..min120/day/week/month/season/year（value 数值未印出，day 及以后未给值）</x:v>
      </x:c>
      <x:c r="H159" s="18" t="str">
        <x:v>是</x:v>
      </x:c>
      <x:c r="I159" s="18" t="str">
        <x:v>低</x:v>
      </x:c>
      <x:c r="J159" s="18" t="str">
        <x:v>INVENTORIED</x:v>
      </x:c>
      <x:c r="K159" s="19" t="n">
        <x:f>IFERROR(VLOOKUP(J159,'状态字典'!$A$5:$B$16,2,FALSE),0)</x:f>
        <x:v>10</x:v>
      </x:c>
      <x:c r="L159" s="18" t="str"/>
      <x:c r="M159" s="18" t="str">
        <x:v>未执行</x:v>
      </x:c>
      <x:c r="N159" s="18" t="str">
        <x:v>与 TGW MDDatatype 10000..10012 对齐关系待证</x:v>
      </x:c>
      <x:c r="O159" s="18" t="str"/>
      <x:c r="P159" s="18" t="str">
        <x:v>待实现/复验</x:v>
      </x:c>
      <x:c r="Q159" s="18" t="str">
        <x:v>INVENTORIED</x:v>
      </x:c>
      <x:c r="R159" s="18" t="str">
        <x:v>对照表测试；Linux oracle → wire → Mac → 同参</x:v>
      </x:c>
      <x:c r="S159" s="18" t="str">
        <x:v>—</x:v>
      </x:c>
      <x:c r="T159" s="18" t="str">
        <x:v>—</x:v>
      </x:c>
      <x:c r="U159" s="18" t="str">
        <x:v>—</x:v>
      </x:c>
      <x:c r="V159" s="18" t="str">
        <x:v>docs/PDF_API_INVENTORY.md</x:v>
      </x:c>
      <x:c r="W159" s="18" t="str">
        <x:v>对照表测试</x:v>
      </x:c>
      <x:c r="X159" s="18" t="str">
        <x:v>AD 手册未给出 Period 数值；TGW 低层已证日/周/月不能替代 AD Period 自身取值与映射取证</x:v>
      </x:c>
      <x:c r="Y159" s="18" t="str"/>
    </x:row>
    <x:row r="160" ht="42" customHeight="1">
      <x:c r="A160" s="20" t="n">
        <x:v>156</x:v>
      </x:c>
      <x:c r="B160" s="18" t="str">
        <x:v>AmazingData 开发手册</x:v>
      </x:c>
      <x:c r="C160" s="18" t="str">
        <x:v>140–145</x:v>
      </x:c>
      <x:c r="D160" s="18" t="str">
        <x:v>附录</x:v>
      </x:c>
      <x:c r="E160" s="18" t="str">
        <x:v>Snapshot/SnapshotOption/SnapshotFuture/SnapshotIndex/SnapshotHKT/Kline 结构</x:v>
      </x:c>
      <x:c r="F160" s="18" t="str">
        <x:v>高层 wrapper；底层待取证</x:v>
      </x:c>
      <x:c r="G160" s="18" t="str">
        <x:v>字段名与 TGW 结构对应但为 float 化简版</x:v>
      </x:c>
      <x:c r="H160" s="18" t="str">
        <x:v>是</x:v>
      </x:c>
      <x:c r="I160" s="18" t="str">
        <x:v>低</x:v>
      </x:c>
      <x:c r="J160" s="18" t="str">
        <x:v>INVENTORIED</x:v>
      </x:c>
      <x:c r="K160" s="19" t="n">
        <x:f>IFERROR(VLOOKUP(J160,'状态字典'!$A$5:$B$16,2,FALSE),0)</x:f>
        <x:v>10</x:v>
      </x:c>
      <x:c r="L160" s="18" t="str"/>
      <x:c r="M160" s="18" t="str">
        <x:v>未执行</x:v>
      </x:c>
      <x:c r="N160" s="18" t="str">
        <x:v>价格已还原为浮点</x:v>
      </x:c>
      <x:c r="O160" s="18" t="str"/>
      <x:c r="P160" s="18" t="str">
        <x:v>待实现/复验</x:v>
      </x:c>
      <x:c r="Q160" s="18" t="str">
        <x:v>INVENTORIED</x:v>
      </x:c>
      <x:c r="R160" s="18" t="str">
        <x:v>字段映射表测试；Linux oracle → wire → Mac → 同参</x:v>
      </x:c>
      <x:c r="S160" s="18" t="str">
        <x:v>—</x:v>
      </x:c>
      <x:c r="T160" s="18" t="str">
        <x:v>—</x:v>
      </x:c>
      <x:c r="U160" s="18" t="str">
        <x:v>—</x:v>
      </x:c>
      <x:c r="V160" s="18" t="str">
        <x:v>docs/PDF_API_INVENTORY.md</x:v>
      </x:c>
      <x:c r="W160" s="18" t="str">
        <x:v>字段映射表测试</x:v>
      </x:c>
      <x:c r="X160" s="18" t="str">
        <x:v>AD 层字段名 ≠ TGW wire 数字 key；映射需逐字段取证</x:v>
      </x:c>
      <x:c r="Y160" s="18" t="str"/>
    </x:row>
    <x:row r="161" ht="42" customHeight="1">
      <x:c r="A161" s="20" t="n">
        <x:v>157</x:v>
      </x:c>
      <x:c r="B161" s="18" t="str">
        <x:v>AmazingData 开发手册</x:v>
      </x:c>
      <x:c r="C161" s="18" t="str">
        <x:v>145–146</x:v>
      </x:c>
      <x:c r="D161" s="18" t="str">
        <x:v>附录</x:v>
      </x:c>
      <x:c r="E161" s="18" t="str">
        <x:v>本地缓存方案(local_path/is_local vs begin_date/end_date 两组参数互斥)</x:v>
      </x:c>
      <x:c r="F161" s="18" t="str">
        <x:v>高层 wrapper；底层待取证</x:v>
      </x:c>
      <x:c r="G161" s="18" t="str">
        <x:v>wrapper 行为</x:v>
      </x:c>
      <x:c r="H161" s="18" t="str">
        <x:v>是</x:v>
      </x:c>
      <x:c r="I161" s="18" t="str">
        <x:v>低</x:v>
      </x:c>
      <x:c r="J161" s="18" t="str">
        <x:v>INVENTORIED</x:v>
      </x:c>
      <x:c r="K161" s="19" t="n">
        <x:f>IFERROR(VLOOKUP(J161,'状态字典'!$A$5:$B$16,2,FALSE),0)</x:f>
        <x:v>10</x:v>
      </x:c>
      <x:c r="L161" s="18" t="str"/>
      <x:c r="M161" s="18" t="str">
        <x:v>未执行</x:v>
      </x:c>
      <x:c r="N161" s="18" t="str">
        <x:v>hdf5 存储 ≥500GB 建议</x:v>
      </x:c>
      <x:c r="O161" s="18" t="str"/>
      <x:c r="P161" s="18" t="str">
        <x:v>待实现/复验</x:v>
      </x:c>
      <x:c r="Q161" s="18" t="str">
        <x:v>INVENTORIED</x:v>
      </x:c>
      <x:c r="R161" s="18" t="str">
        <x:v>—；Linux oracle → wire → Mac → 同参</x:v>
      </x:c>
      <x:c r="S161" s="18" t="str">
        <x:v>—</x:v>
      </x:c>
      <x:c r="T161" s="18" t="str">
        <x:v>—</x:v>
      </x:c>
      <x:c r="U161" s="18" t="str">
        <x:v>—</x:v>
      </x:c>
      <x:c r="V161" s="18" t="str">
        <x:v>docs/PDF_API_INVENTORY.md</x:v>
      </x:c>
      <x:c r="W161" s="18" t="str">
        <x:v>—</x:v>
      </x:c>
      <x:c r="X161" s="18" t="str">
        <x:v>属 wrapper 本地行为，Mac 重写可不实现，但需在兼容层声明</x:v>
      </x:c>
      <x:c r="Y161" s="18" t="str"/>
    </x:row>
    <x:row r="162" ht="42" customHeight="1">
      <x:c r="A162" s="20" t="n">
        <x:v>158</x:v>
      </x:c>
      <x:c r="B162" s="18" t="str">
        <x:v>HDR-v1.0.8</x:v>
      </x:c>
      <x:c r="C162" s="18" t="str">
        <x:v>linux&amp;windows tgw.h:247、tgw_struct.h ReqHQFactor</x:v>
      </x:c>
      <x:c r="D162" s="18" t="str">
        <x:v>查询</x:v>
      </x:c>
      <x:c r="E162" s="18" t="str">
        <x:v>QueryHQFactor(factor_spi,ReqHQFactor) DQS 因子</x:v>
      </x:c>
      <x:c r="F162" s="18" t="str">
        <x:v>QueryHQFactor(factor_spi,ReqHQFactor) DQS 因子</x:v>
      </x:c>
      <x:c r="G162" s="18" t="str">
        <x:v>按文档</x:v>
      </x:c>
      <x:c r="H162" s="18" t="str">
        <x:v>是</x:v>
      </x:c>
      <x:c r="I162" s="18" t="str">
        <x:v>低</x:v>
      </x:c>
      <x:c r="J162" s="18" t="str">
        <x:v>INVENTORIED</x:v>
      </x:c>
      <x:c r="K162" s="19" t="n">
        <x:f>IFERROR(VLOOKUP(J162,'状态字典'!$A$5:$B$16,2,FALSE),0)</x:f>
        <x:v>10</x:v>
      </x:c>
      <x:c r="L162" s="18" t="str"/>
      <x:c r="M162" s="18" t="str">
        <x:v>未执行</x:v>
      </x:c>
      <x:c r="N162" s="18" t="str">
        <x:v>入参含 std::string/vector（非 pack(1) POD）；query_type/query_fields/security_list</x:v>
      </x:c>
      <x:c r="O162" s="18" t="str"/>
      <x:c r="P162" s="18" t="str">
        <x:v>待实现/复验</x:v>
      </x:c>
      <x:c r="Q162" s="18" t="str">
        <x:v>INVENTORIED</x:v>
      </x:c>
      <x:c r="R162" s="18" t="str">
        <x:v>按单接口最小只读样本；Linux oracle → wire → Mac → 同参</x:v>
      </x:c>
      <x:c r="S162" s="18" t="str">
        <x:v>入参含 std::string/vector（非 pack(1) POD）；query_type/query_fields/security_list</x:v>
      </x:c>
      <x:c r="T162" s="18" t="str">
        <x:v>参见 PDF 返回结构；待逐列登记类型</x:v>
      </x:c>
      <x:c r="U162" s="18" t="str">
        <x:v>同步/回调合约待逐项核对</x:v>
      </x:c>
      <x:c r="V162" s="18" t="str">
        <x:v>docs/PDF_API_INVENTORY.md</x:v>
      </x:c>
      <x:c r="W162" s="18" t="str">
        <x:v>领取单接口任务卡并按工作流闭环</x:v>
      </x:c>
      <x:c r="X162" s="18" t="str">
        <x:v>两份 PDF 均无章节；无公开取值文档；实现前必须 oracle 取证</x:v>
      </x:c>
      <x:c r="Y162" s="18" t="str"/>
    </x:row>
    <x:row r="163" ht="42" customHeight="1">
      <x:c r="A163" s="20" t="n">
        <x:v>159</x:v>
      </x:c>
      <x:c r="B163" s="18" t="str">
        <x:v>HDR-v1.0.8</x:v>
      </x:c>
      <x:c r="C163" s="18" t="str">
        <x:v>tgw_datatype.h:250–253</x:v>
      </x:c>
      <x:c r="D163" s="18" t="str">
        <x:v>订阅枚举</x:v>
      </x:c>
      <x:c r="E163" s="18" t="str">
        <x:v>SubscribeDataType 21 kSnapshotL2 / 22 kTickOrder / 23 kTickExecution / 24 kOrderQueue</x:v>
      </x:c>
      <x:c r="F163" s="18" t="str">
        <x:v>SubscribeDataType 21 kSnapshotL2 / 22 kTickOrder / 23 kTickExecution / 24 kOrderQueue</x:v>
      </x:c>
      <x:c r="G163" s="18" t="str">
        <x:v>按文档</x:v>
      </x:c>
      <x:c r="H163" s="18" t="str">
        <x:v>否（待开盘）</x:v>
      </x:c>
      <x:c r="I163" s="18" t="str">
        <x:v>中</x:v>
      </x:c>
      <x:c r="J163" s="18" t="str">
        <x:v>INVENTORIED</x:v>
      </x:c>
      <x:c r="K163" s="19" t="n">
        <x:f>IFERROR(VLOOKUP(J163,'状态字典'!$A$5:$B$16,2,FALSE),0)</x:f>
        <x:v>10</x:v>
      </x:c>
      <x:c r="L163" s="18" t="str"/>
      <x:c r="M163" s="18" t="str">
        <x:v>未执行</x:v>
      </x:c>
      <x:c r="N163" s="18" t="str">
        <x:v>PDF 表只到 20</x:v>
      </x:c>
      <x:c r="O163" s="18" t="str"/>
      <x:c r="P163" s="18" t="str">
        <x:v>待实现/复验</x:v>
      </x:c>
      <x:c r="Q163" s="18" t="str">
        <x:v>INVENTORIED</x:v>
      </x:c>
      <x:c r="R163" s="18" t="str">
        <x:v>按单接口最小只读样本；Linux oracle → wire → Mac → 同参</x:v>
      </x:c>
      <x:c r="S163" s="18" t="str">
        <x:v>PDF 表只到 20</x:v>
      </x:c>
      <x:c r="T163" s="18" t="str">
        <x:v>参见 PDF 返回结构；待逐列登记类型</x:v>
      </x:c>
      <x:c r="U163" s="18" t="str">
        <x:v>同步/回调合约待逐项核对</x:v>
      </x:c>
      <x:c r="V163" s="18" t="str">
        <x:v>docs/PDF_API_INVENTORY.md</x:v>
      </x:c>
      <x:c r="W163" s="18" t="str">
        <x:v>领取单接口任务卡并按工作流闭环</x:v>
      </x:c>
      <x:c r="X163" s="18" t="str">
        <x:v>未经取证不得下发</x:v>
      </x:c>
      <x:c r="Y163" s="18" t="str"/>
    </x:row>
    <x:row r="164" ht="42" customHeight="1">
      <x:c r="A164" s="20" t="n">
        <x:v>160</x:v>
      </x:c>
      <x:c r="B164" s="18" t="str">
        <x:v>HDR-v1.0.8</x:v>
      </x:c>
      <x:c r="C164" s="18" t="str">
        <x:v>tgw_history_spi.h 各 Spi</x:v>
      </x:c>
      <x:c r="D164" s="18" t="str">
        <x:v>查询回调</x:v>
      </x:c>
      <x:c r="E164" s="18" t="str">
        <x:v>OnStatus(RspQueryStatus*) 六联体状态回调</x:v>
      </x:c>
      <x:c r="F164" s="18" t="str">
        <x:v>OnStatus(RspQueryStatus*) 六联体状态回调</x:v>
      </x:c>
      <x:c r="G164" s="18" t="str">
        <x:v>按文档</x:v>
      </x:c>
      <x:c r="H164" s="18" t="str">
        <x:v>是</x:v>
      </x:c>
      <x:c r="I164" s="18" t="str">
        <x:v>低</x:v>
      </x:c>
      <x:c r="J164" s="18" t="str">
        <x:v>ARM_IMPLEMENTED</x:v>
      </x:c>
      <x:c r="K164" s="19" t="n">
        <x:f>IFERROR(VLOOKUP(J164,'状态字典'!$A$5:$B$16,2,FALSE),0)</x:f>
        <x:v>70</x:v>
      </x:c>
      <x:c r="L164" s="18" t="str"/>
      <x:c r="M164" s="18" t="str">
        <x:v>未执行</x:v>
      </x:c>
      <x:c r="N164" s="18" t="str">
        <x:v>PDF 3.5.6 未记载该回调</x:v>
      </x:c>
      <x:c r="O164" s="18" t="str">
        <x:v>2026-08-26</x:v>
      </x:c>
      <x:c r="P164" s="18" t="str">
        <x:v>已有实现；待同参 live</x:v>
      </x:c>
      <x:c r="Q164" s="18" t="str">
        <x:v>ARM_IMPLEMENTED(partial)（错误语义未对齐）</x:v>
      </x:c>
      <x:c r="R164" s="18" t="str">
        <x:v>按单接口最小只读样本；Linux oracle → wire → Mac → 同参</x:v>
      </x:c>
      <x:c r="S164" s="18" t="str">
        <x:v>PDF 3.5.6 未记载该回调</x:v>
      </x:c>
      <x:c r="T164" s="18" t="str">
        <x:v>参见 PDF 返回结构；待逐列登记类型</x:v>
      </x:c>
      <x:c r="U164" s="18" t="str">
        <x:v>同步/回调合约待逐项核对</x:v>
      </x:c>
      <x:c r="V164" s="18" t="str">
        <x:v>docs/PDF_API_INVENTORY.md</x:v>
      </x:c>
      <x:c r="W164" s="18" t="str">
        <x:v>领取单接口任务卡并按工作流闭环</x:v>
      </x:c>
      <x:c r="X164" s="18" t="str">
        <x:v>错误码语义对齐的必经之路</x:v>
      </x:c>
      <x:c r="Y164" s="18" t="str"/>
    </x:row>
    <x:row r="165" ht="42" customHeight="1">
      <x:c r="A165" s="20" t="n">
        <x:v>161</x:v>
      </x:c>
      <x:c r="B165" s="18" t="str">
        <x:v>HDR-v1.0.8</x:v>
      </x:c>
      <x:c r="C165" s="18" t="str">
        <x:v>tgw_struct.h:171</x:v>
      </x:c>
      <x:c r="D165" s="18" t="str">
        <x:v>结构差异</x:v>
      </x:c>
      <x:c r="E165" s="18" t="str">
        <x:v>ReqDefault.level_type(uint16_t,默认0)</x:v>
      </x:c>
      <x:c r="F165" s="18" t="str">
        <x:v>ReqDefault.level_type(uint16_t,默认0)</x:v>
      </x:c>
      <x:c r="G165" s="18" t="str">
        <x:v>按文档</x:v>
      </x:c>
      <x:c r="H165" s="18" t="str">
        <x:v>是</x:v>
      </x:c>
      <x:c r="I165" s="18" t="str">
        <x:v>低</x:v>
      </x:c>
      <x:c r="J165" s="18" t="str">
        <x:v>INVENTORIED</x:v>
      </x:c>
      <x:c r="K165" s="19" t="n">
        <x:f>IFERROR(VLOOKUP(J165,'状态字典'!$A$5:$B$16,2,FALSE),0)</x:f>
        <x:v>10</x:v>
      </x:c>
      <x:c r="L165" s="18" t="str"/>
      <x:c r="M165" s="18" t="str">
        <x:v>未执行</x:v>
      </x:c>
      <x:c r="N165" s="18" t="str">
        <x:v>PDF ReqDefault 表止于 data_type；工作流已登记此冲突</x:v>
      </x:c>
      <x:c r="O165" s="18" t="str"/>
      <x:c r="P165" s="18" t="str">
        <x:v>待实现/复验</x:v>
      </x:c>
      <x:c r="Q165" s="18" t="str">
        <x:v>已锁定（发行包 ABI 优先）</x:v>
      </x:c>
      <x:c r="R165" s="18" t="str">
        <x:v>按单接口最小只读样本；Linux oracle → wire → Mac → 同参</x:v>
      </x:c>
      <x:c r="S165" s="18" t="str">
        <x:v>PDF ReqDefault 表止于 data_type；工作流已登记此冲突</x:v>
      </x:c>
      <x:c r="T165" s="18" t="str">
        <x:v>参见 PDF 返回结构；待逐列登记类型</x:v>
      </x:c>
      <x:c r="U165" s="18" t="str">
        <x:v>同步/回调合约待逐项核对</x:v>
      </x:c>
      <x:c r="V165" s="18" t="str">
        <x:v>docs/PDF_API_INVENTORY.md</x:v>
      </x:c>
      <x:c r="W165" s="18" t="str">
        <x:v>领取单接口任务卡并按工作流闭环</x:v>
      </x:c>
      <x:c r="X165" s="18" t="str">
        <x:v>本地结构跟 HDR，不跟 PDF</x:v>
      </x:c>
      <x:c r="Y165" s="18" t="str"/>
    </x:row>
    <x:row r="166" ht="42" customHeight="1">
      <x:c r="A166" s="20" t="n">
        <x:v>162</x:v>
      </x:c>
      <x:c r="B166" s="18" t="str">
        <x:v>HDR-v1.0.8</x:v>
      </x:c>
      <x:c r="C166" s="18" t="str">
        <x:v>tgw_struct.h SubFactorItem</x:v>
      </x:c>
      <x:c r="D166" s="18" t="str">
        <x:v>结构差异</x:v>
      </x:c>
      <x:c r="E166" s="18" t="str">
        <x:v>因子订阅项多出 security_code/market/category 三字段</x:v>
      </x:c>
      <x:c r="F166" s="18" t="str">
        <x:v>因子订阅项多出 security_code/market/category 三字段</x:v>
      </x:c>
      <x:c r="G166" s="18" t="str">
        <x:v>按文档</x:v>
      </x:c>
      <x:c r="H166" s="18" t="str">
        <x:v>是</x:v>
      </x:c>
      <x:c r="I166" s="18" t="str">
        <x:v>低</x:v>
      </x:c>
      <x:c r="J166" s="18" t="str">
        <x:v>INVENTORIED</x:v>
      </x:c>
      <x:c r="K166" s="19" t="n">
        <x:f>IFERROR(VLOOKUP(J166,'状态字典'!$A$5:$B$16,2,FALSE),0)</x:f>
        <x:v>10</x:v>
      </x:c>
      <x:c r="L166" s="18" t="str"/>
      <x:c r="M166" s="18" t="str">
        <x:v>未执行</x:v>
      </x:c>
      <x:c r="N166" s="18" t="str">
        <x:v>PDF 表只有三个 factor 字段</x:v>
      </x:c>
      <x:c r="O166" s="18" t="str"/>
      <x:c r="P166" s="18" t="str">
        <x:v>待实现/复验</x:v>
      </x:c>
      <x:c r="Q166" s="18" t="str">
        <x:v>INVENTORIED</x:v>
      </x:c>
      <x:c r="R166" s="18" t="str">
        <x:v>按单接口最小只读样本；Linux oracle → wire → Mac → 同参</x:v>
      </x:c>
      <x:c r="S166" s="18" t="str">
        <x:v>PDF 表只有三个 factor 字段</x:v>
      </x:c>
      <x:c r="T166" s="18" t="str">
        <x:v>参见 PDF 返回结构；待逐列登记类型</x:v>
      </x:c>
      <x:c r="U166" s="18" t="str">
        <x:v>同步/回调合约待逐项核对</x:v>
      </x:c>
      <x:c r="V166" s="18" t="str">
        <x:v>docs/PDF_API_INVENTORY.md</x:v>
      </x:c>
      <x:c r="W166" s="18" t="str">
        <x:v>领取单接口任务卡并按工作流闭环</x:v>
      </x:c>
      <x:c r="X166" s="18" t="str">
        <x:v>实现 #9/#10 时按 HDR 字段集</x:v>
      </x:c>
      <x:c r="Y166" s="18" t="str"/>
    </x:row>
    <x:row r="167" ht="42" customHeight="1">
      <x:c r="A167" s="20" t="n">
        <x:v>163</x:v>
      </x:c>
      <x:c r="B167" s="18" t="str">
        <x:v>HDR-v1.0.8</x:v>
      </x:c>
      <x:c r="C167" s="18" t="str">
        <x:v>tgw_datatype.h InternetDataPermission/ColocationDataPermission</x:v>
      </x:c>
      <x:c r="D167" s="18" t="str">
        <x:v>权限枚举</x:v>
      </x:c>
      <x:c r="E167" s="18" t="str">
        <x:v>账号数据权限数值表</x:v>
      </x:c>
      <x:c r="F167" s="18" t="str">
        <x:v>账号数据权限数值表</x:v>
      </x:c>
      <x:c r="G167" s="18" t="str">
        <x:v>按文档</x:v>
      </x:c>
      <x:c r="H167" s="18" t="str">
        <x:v>是</x:v>
      </x:c>
      <x:c r="I167" s="18" t="str">
        <x:v>低</x:v>
      </x:c>
      <x:c r="J167" s="18" t="str">
        <x:v>INVENTORIED</x:v>
      </x:c>
      <x:c r="K167" s="19" t="n">
        <x:f>IFERROR(VLOOKUP(J167,'状态字典'!$A$5:$B$16,2,FALSE),0)</x:f>
        <x:v>10</x:v>
      </x:c>
      <x:c r="L167" s="18" t="str"/>
      <x:c r="M167" s="18" t="str">
        <x:v>未执行</x:v>
      </x:c>
      <x:c r="N167" s="18" t="str">
        <x:v>PDF 未记载</x:v>
      </x:c>
      <x:c r="O167" s="18" t="str"/>
      <x:c r="P167" s="18" t="str">
        <x:v>待实现/复验</x:v>
      </x:c>
      <x:c r="Q167" s="18" t="str">
        <x:v>INVENTORIED</x:v>
      </x:c>
      <x:c r="R167" s="18" t="str">
        <x:v>按单接口最小只读样本；Linux oracle → wire → Mac → 同参</x:v>
      </x:c>
      <x:c r="S167" s="18" t="str">
        <x:v>PDF 未记载</x:v>
      </x:c>
      <x:c r="T167" s="18" t="str">
        <x:v>参见 PDF 返回结构；待逐列登记类型</x:v>
      </x:c>
      <x:c r="U167" s="18" t="str">
        <x:v>同步/回调合约待逐项核对</x:v>
      </x:c>
      <x:c r="V167" s="18" t="str">
        <x:v>docs/PDF_API_INVENTORY.md</x:v>
      </x:c>
      <x:c r="W167" s="18" t="str">
        <x:v>领取单接口任务卡并按工作流闭环</x:v>
      </x:c>
      <x:c r="X167" s="18" t="str">
        <x:v>可用于解释 kPermissionError=-95，但不能反推权限开通</x:v>
      </x:c>
      <x:c r="Y167" s="18" t="str"/>
    </x:row>
    <x:row r="168" ht="42" customHeight="1">
      <x:c r="A168" s="20" t="n">
        <x:v>164</x:v>
      </x:c>
      <x:c r="B168" s="18" t="str">
        <x:v>项目证据</x:v>
      </x:c>
      <x:c r="C168" s="18" t="str">
        <x:v>docs/evidence/*</x:v>
      </x:c>
      <x:c r="D168" s="18" t="str">
        <x:v>状态差异</x:v>
      </x:c>
      <x:c r="E168" s="18" t="str">
        <x:v>实测日历功能号 A010061003 在 TGW-C++ 目录中不存在（PDF 只有 A01006001/A010061001）</x:v>
      </x:c>
      <x:c r="F168" s="18" t="str">
        <x:v>实测日历功能号 A010061003 在 TGW-C++ 目录中不存在（PDF 只有 A01006001/A010061001）</x:v>
      </x:c>
      <x:c r="G168" s="18" t="str">
        <x:v>按文档</x:v>
      </x:c>
      <x:c r="H168" s="18" t="str">
        <x:v>是</x:v>
      </x:c>
      <x:c r="I168" s="18" t="str">
        <x:v>低</x:v>
      </x:c>
      <x:c r="J168" s="18" t="str">
        <x:v>LIVE_ALIGNED</x:v>
      </x:c>
      <x:c r="K168" s="19" t="n">
        <x:f>IFERROR(VLOOKUP(J168,'状态字典'!$A$5:$B$16,2,FALSE),0)</x:f>
        <x:v>85</x:v>
      </x:c>
      <x:c r="L168" s="18" t="str">
        <x:v>2026-08-26</x:v>
      </x:c>
      <x:c r="M168" s="18" t="str">
        <x:v>已有脱敏证据；严格限于状态所述子范围</x:v>
      </x:c>
      <x:c r="N168" s="18" t="str">
        <x:v>来自官方 Python wrapper 行为或服务端更新</x:v>
      </x:c>
      <x:c r="O168" s="18" t="str">
        <x:v>2026-08-26</x:v>
      </x:c>
      <x:c r="P168" s="18" t="str">
        <x:v>已有 Mac 子范围证据</x:v>
      </x:c>
      <x:c r="Q168" s="18" t="str">
        <x:v>LIVE_ALIGNED(calendar function only)</x:v>
      </x:c>
      <x:c r="R168" s="18" t="str">
        <x:v>按单接口最小只读样本；Linux oracle → wire → Mac → 同参</x:v>
      </x:c>
      <x:c r="S168" s="18" t="str">
        <x:v>来自官方 Python wrapper 行为或服务端更新</x:v>
      </x:c>
      <x:c r="T168" s="18" t="str">
        <x:v>参见 PDF 返回结构；待逐列登记类型</x:v>
      </x:c>
      <x:c r="U168" s="18" t="str">
        <x:v>同步/回调合约待逐项核对</x:v>
      </x:c>
      <x:c r="V168" s="18" t="str">
        <x:v>docs/PDF_API_INVENTORY.md</x:v>
      </x:c>
      <x:c r="W168" s="18" t="str">
        <x:v>领取单接口任务卡并按工作流闭环</x:v>
      </x:c>
      <x:c r="X168" s="18" t="str">
        <x:v>证据文件必须继续记录该不一致，避免后人“纠正”回 PDF 值</x:v>
      </x:c>
      <x:c r="Y168" s="18" t="str"/>
    </x:row>
  </x:sheetData>
  <x:mergeCells>
    <x:mergeCell ref="A1:Y1"/>
    <x:mergeCell ref="A2:Y2"/>
  </x:mergeCells>
  <x:conditionalFormatting sqref="K5:K168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{27FEF189-C51C-145B-BE71-BE3BDCC0FE86}</x14:id>
        </x:ext>
      </x:extLst>
    </x:cfRule>
  </x:conditionalFormatting>
  <x:conditionalFormatting sqref="J5:J168">
    <x:cfRule type="containsText" dxfId="0" priority="2" operator="containsText" text="LIVE_ALIGNED"/>
    <x:cfRule type="containsText" dxfId="1" priority="3" operator="containsText" text="CHANGES_REQUESTED"/>
    <x:cfRule type="containsText" dxfId="2" priority="4" operator="containsText" text="OUT_OF_SCOPE"/>
  </x:conditionalFormatting>
  <x:conditionalFormatting sqref="H5:H168">
    <x:cfRule type="containsText" dxfId="3" priority="5" operator="containsText" text="待开盘"/>
  </x:conditionalFormatting>
  <x:dataValidations count="3">
    <x:dataValidation type="list" sqref="J5:J168">
      <x:formula1>'状态字典'!$A$5:$A$16</x:formula1>
    </x:dataValidation>
    <x:dataValidation type="list" sqref="H5:H168">
      <x:formula1>"是,否（待开盘）,否（模式不适用）,禁止默认执行,待取证"</x:formula1>
    </x:dataValidation>
    <x:dataValidation type="list" sqref="I5:I168">
      <x:formula1>"低,中,高,阻塞"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7FEF189-C51C-145B-BE71-BE3BDCC0FE86}">
            <x14:dataBar gradient="1">
              <x14:cfvo type="min"/>
              <x14:cfvo type="max"/>
              <x14:fillColor rgb="FF2563EB"/>
            </x14:dataBar>
          </x14:cfRule>
          <xm:sqref>K5:K168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18" hidden="0" customWidth="1"/>
    <x:col min="4" max="4" width="10" hidden="0" customWidth="1"/>
    <x:col min="5" max="5" width="14" hidden="0" customWidth="1"/>
    <x:col min="6" max="6" width="20" hidden="0" customWidth="1"/>
    <x:col min="7" max="7" width="45" hidden="0" customWidth="1"/>
    <x:col min="8" max="8" width="48" hidden="0" customWidth="1"/>
    <x:col min="9" max="9" width="35" hidden="0" customWidth="1"/>
    <x:col min="10" max="10" width="50" hidden="0" customWidth="1"/>
  </x:cols>
  <x:sheetData>
    <x:row r="1" ht="36" customHeight="1">
      <x:c r="A1" s="3" t="str">
        <x:v>TGW ThirdInfo 功能号目录</x:v>
      </x:c>
      <x:c r="B1" s="3" t="str">
        <x:v>TGW ThirdInfo 功能号目录</x:v>
      </x:c>
      <x:c r="C1" s="3" t="str">
        <x:v>TGW ThirdInfo 功能号目录</x:v>
      </x:c>
      <x:c r="D1" s="3" t="str">
        <x:v>TGW ThirdInfo 功能号目录</x:v>
      </x:c>
      <x:c r="E1" s="3" t="str">
        <x:v>TGW ThirdInfo 功能号目录</x:v>
      </x:c>
      <x:c r="F1" s="3" t="str">
        <x:v>TGW ThirdInfo 功能号目录</x:v>
      </x:c>
      <x:c r="G1" s="3" t="str">
        <x:v>TGW ThirdInfo 功能号目录</x:v>
      </x:c>
      <x:c r="H1" s="3" t="str">
        <x:v>TGW ThirdInfo 功能号目录</x:v>
      </x:c>
      <x:c r="I1" s="3" t="str">
        <x:v>TGW ThirdInfo 功能号目录</x:v>
      </x:c>
      <x:c r="J1" s="3" t="str">
        <x:v>TGW ThirdInfo 功能号目录</x:v>
      </x:c>
    </x:row>
    <x:row r="2" ht="32" customHeight="1">
      <x:c r="A2" s="7" t="str">
        <x:v>直接从 C++ PDF 目录/正文标题提取。每个功能号单独走 Linux → wire → Mac → 同参验收。</x:v>
      </x:c>
      <x:c r="B2" s="7" t="str">
        <x:v>直接从 C++ PDF 目录/正文标题提取。每个功能号单独走 Linux → wire → Mac → 同参验收。</x:v>
      </x:c>
      <x:c r="C2" s="7" t="str">
        <x:v>直接从 C++ PDF 目录/正文标题提取。每个功能号单独走 Linux → wire → Mac → 同参验收。</x:v>
      </x:c>
      <x:c r="D2" s="7" t="str">
        <x:v>直接从 C++ PDF 目录/正文标题提取。每个功能号单独走 Linux → wire → Mac → 同参验收。</x:v>
      </x:c>
      <x:c r="E2" s="7" t="str">
        <x:v>直接从 C++ PDF 目录/正文标题提取。每个功能号单独走 Linux → wire → Mac → 同参验收。</x:v>
      </x:c>
      <x:c r="F2" s="7" t="str">
        <x:v>直接从 C++ PDF 目录/正文标题提取。每个功能号单独走 Linux → wire → Mac → 同参验收。</x:v>
      </x:c>
      <x:c r="G2" s="7" t="str">
        <x:v>直接从 C++ PDF 目录/正文标题提取。每个功能号单独走 Linux → wire → Mac → 同参验收。</x:v>
      </x:c>
      <x:c r="H2" s="7" t="str">
        <x:v>直接从 C++ PDF 目录/正文标题提取。每个功能号单独走 Linux → wire → Mac → 同参验收。</x:v>
      </x:c>
      <x:c r="I2" s="7" t="str">
        <x:v>直接从 C++ PDF 目录/正文标题提取。每个功能号单独走 Linux → wire → Mac → 同参验收。</x:v>
      </x:c>
      <x:c r="J2" s="7" t="str">
        <x:v>直接从 C++ PDF 目录/正文标题提取。每个功能号单独走 Linux → wire → Mac → 同参验收。</x:v>
      </x:c>
    </x:row>
    <x:row r="4" ht="30" customHeight="1">
      <x:c r="A4" s="13" t="str">
        <x:v>章节</x:v>
      </x:c>
      <x:c r="B4" s="13" t="str">
        <x:v>功能名称</x:v>
      </x:c>
      <x:c r="C4" s="13" t="str">
        <x:v>function_id</x:v>
      </x:c>
      <x:c r="D4" s="13" t="str">
        <x:v>PDF页</x:v>
      </x:c>
      <x:c r="E4" s="13" t="str">
        <x:v>盘后可测</x:v>
      </x:c>
      <x:c r="F4" s="13" t="str">
        <x:v>状态</x:v>
      </x:c>
      <x:c r="G4" s="13" t="str">
        <x:v>最小请求构造</x:v>
      </x:c>
      <x:c r="H4" s="13" t="str">
        <x:v>响应结构/类型</x:v>
      </x:c>
      <x:c r="I4" s="13" t="str">
        <x:v>AmazingData映射</x:v>
      </x:c>
      <x:c r="J4" s="13" t="str">
        <x:v>备注</x:v>
      </x:c>
    </x:row>
    <x:row r="5" ht="34" customHeight="1">
      <x:c r="A5" s="18" t="str">
        <x:v>资讯-基础</x:v>
      </x:c>
      <x:c r="B5" s="18" t="str">
        <x:v>A股基本资料</x:v>
      </x:c>
      <x:c r="C5" s="18" t="str">
        <x:v>A010010001</x:v>
      </x:c>
      <x:c r="D5" s="18" t="str">
        <x:v>94</x:v>
      </x:c>
      <x:c r="E5" s="18" t="str">
        <x:v>是</x:v>
      </x:c>
      <x:c r="F5" s="18" t="str">
        <x:v>INVENTORIED</x:v>
      </x:c>
      <x:c r="G5" s="18" t="str">
        <x:v>（章节内详列）</x:v>
      </x:c>
      <x:c r="H5" s="18" t="str">
        <x:v>字段表</x:v>
      </x:c>
      <x:c r="I5" s="18" t="str">
        <x:v>待映射到 AmazingData wrapper</x:v>
      </x:c>
      <x:c r="J5" s="18" t="str">
        <x:v>未验功能号显式失败</x:v>
      </x:c>
    </x:row>
    <x:row r="6" ht="34" customHeight="1">
      <x:c r="A6" s="18" t="str">
        <x:v>资讯-基础</x:v>
      </x:c>
      <x:c r="B6" s="18" t="str">
        <x:v>A股行业分类</x:v>
      </x:c>
      <x:c r="C6" s="18" t="str">
        <x:v>A010010002</x:v>
      </x:c>
      <x:c r="D6" s="18" t="str">
        <x:v>95</x:v>
      </x:c>
      <x:c r="E6" s="18" t="str">
        <x:v>是</x:v>
      </x:c>
      <x:c r="F6" s="18" t="str">
        <x:v>INVENTORIED</x:v>
      </x:c>
      <x:c r="G6" s="18" t="str">
        <x:v>同上</x:v>
      </x:c>
      <x:c r="H6" s="18" t="str">
        <x:v>字段表</x:v>
      </x:c>
      <x:c r="I6" s="18" t="str">
        <x:v>待映射到 AmazingData wrapper</x:v>
      </x:c>
      <x:c r="J6" s="18" t="str">
        <x:v>同上</x:v>
      </x:c>
    </x:row>
    <x:row r="7" ht="34" customHeight="1">
      <x:c r="A7" s="18" t="str">
        <x:v>资讯-基础</x:v>
      </x:c>
      <x:c r="B7" s="18" t="str">
        <x:v>公司简介</x:v>
      </x:c>
      <x:c r="C7" s="18" t="str">
        <x:v>A010010003</x:v>
      </x:c>
      <x:c r="D7" s="18" t="str">
        <x:v>96</x:v>
      </x:c>
      <x:c r="E7" s="18" t="str">
        <x:v>是</x:v>
      </x:c>
      <x:c r="F7" s="18" t="str">
        <x:v>INVENTORIED</x:v>
      </x:c>
      <x:c r="G7" s="18" t="str">
        <x:v>同上</x:v>
      </x:c>
      <x:c r="H7" s="18" t="str">
        <x:v>字段表</x:v>
      </x:c>
      <x:c r="I7" s="18" t="str">
        <x:v>待映射到 AmazingData wrapper</x:v>
      </x:c>
      <x:c r="J7" s="18" t="str">
        <x:v>同上</x:v>
      </x:c>
    </x:row>
    <x:row r="8" ht="34" customHeight="1">
      <x:c r="A8" s="18" t="str">
        <x:v>资讯-基础</x:v>
      </x:c>
      <x:c r="B8" s="18" t="str">
        <x:v>股本结构</x:v>
      </x:c>
      <x:c r="C8" s="18" t="str">
        <x:v>A010010004</x:v>
      </x:c>
      <x:c r="D8" s="18" t="str">
        <x:v>99</x:v>
      </x:c>
      <x:c r="E8" s="18" t="str">
        <x:v>是</x:v>
      </x:c>
      <x:c r="F8" s="18" t="str">
        <x:v>INVENTORIED</x:v>
      </x:c>
      <x:c r="G8" s="18" t="str">
        <x:v>同上</x:v>
      </x:c>
      <x:c r="H8" s="18" t="str">
        <x:v>字段表</x:v>
      </x:c>
      <x:c r="I8" s="18" t="str">
        <x:v>对应 AD get_equity_structure（推断）</x:v>
      </x:c>
      <x:c r="J8" s="18" t="str">
        <x:v>对应 AD get_equity_structure（推断）</x:v>
      </x:c>
    </x:row>
    <x:row r="9" ht="34" customHeight="1">
      <x:c r="A9" s="18" t="str">
        <x:v>资讯-基础</x:v>
      </x:c>
      <x:c r="B9" s="18" t="str">
        <x:v>公司主营业务</x:v>
      </x:c>
      <x:c r="C9" s="18" t="str">
        <x:v>A010010005</x:v>
      </x:c>
      <x:c r="D9" s="18" t="str">
        <x:v>102–103</x:v>
      </x:c>
      <x:c r="E9" s="18" t="str">
        <x:v>是</x:v>
      </x:c>
      <x:c r="F9" s="18" t="str">
        <x:v>INVENTORIED</x:v>
      </x:c>
      <x:c r="G9" s="18" t="str">
        <x:v>同上</x:v>
      </x:c>
      <x:c r="H9" s="18" t="str">
        <x:v>字段表</x:v>
      </x:c>
      <x:c r="I9" s="18" t="str">
        <x:v>待映射到 AmazingData wrapper</x:v>
      </x:c>
      <x:c r="J9" s="18" t="str">
        <x:v>—</x:v>
      </x:c>
    </x:row>
    <x:row r="10" ht="34" customHeight="1">
      <x:c r="A10" s="18" t="str">
        <x:v>资讯-基础</x:v>
      </x:c>
      <x:c r="B10" s="18" t="str">
        <x:v>历史股票列表(京沪深A)</x:v>
      </x:c>
      <x:c r="C10" s="18" t="str">
        <x:v>A010010006</x:v>
      </x:c>
      <x:c r="D10" s="18" t="str">
        <x:v>104</x:v>
      </x:c>
      <x:c r="E10" s="18" t="str">
        <x:v>是</x:v>
      </x:c>
      <x:c r="F10" s="18" t="str">
        <x:v>INVENTORIED</x:v>
      </x:c>
      <x:c r="G10" s="18" t="str">
        <x:v>日期区间</x:v>
      </x:c>
      <x:c r="H10" s="18" t="str">
        <x:v>代码列表</x:v>
      </x:c>
      <x:c r="I10" s="18" t="str">
        <x:v>待映射到 AmazingData wrapper</x:v>
      </x:c>
      <x:c r="J10" s="18" t="str">
        <x:v>—</x:v>
      </x:c>
    </x:row>
    <x:row r="11" ht="34" customHeight="1">
      <x:c r="A11" s="18" t="str">
        <x:v>资讯-基础</x:v>
      </x:c>
      <x:c r="B11" s="18" t="str">
        <x:v>历史列表(含期货期权指数)</x:v>
      </x:c>
      <x:c r="C11" s="18" t="str">
        <x:v>A010010007</x:v>
      </x:c>
      <x:c r="D11" s="18" t="str">
        <x:v>105</x:v>
      </x:c>
      <x:c r="E11" s="18" t="str">
        <x:v>是</x:v>
      </x:c>
      <x:c r="F11" s="18" t="str">
        <x:v>INVENTORIED</x:v>
      </x:c>
      <x:c r="G11" s="18" t="str">
        <x:v>日期区间</x:v>
      </x:c>
      <x:c r="H11" s="18" t="str">
        <x:v>代码列表</x:v>
      </x:c>
      <x:c r="I11" s="18" t="str">
        <x:v>待映射到 AmazingData wrapper</x:v>
      </x:c>
      <x:c r="J11" s="18" t="str">
        <x:v>—</x:v>
      </x:c>
    </x:row>
    <x:row r="12" ht="34" customHeight="1">
      <x:c r="A12" s="18" t="str">
        <x:v>资讯-发行</x:v>
      </x:c>
      <x:c r="B12" s="18" t="str">
        <x:v>A股首次公开发行</x:v>
      </x:c>
      <x:c r="C12" s="18" t="str">
        <x:v>A010020001</x:v>
      </x:c>
      <x:c r="D12" s="18" t="str">
        <x:v>106–111</x:v>
      </x:c>
      <x:c r="E12" s="18" t="str">
        <x:v>是</x:v>
      </x:c>
      <x:c r="F12" s="18" t="str">
        <x:v>INVENTORIED</x:v>
      </x:c>
      <x:c r="G12" s="18" t="str">
        <x:v>章节详列</x:v>
      </x:c>
      <x:c r="H12" s="18" t="str">
        <x:v>字段表</x:v>
      </x:c>
      <x:c r="I12" s="18" t="str">
        <x:v>待映射到 AmazingData wrapper</x:v>
      </x:c>
      <x:c r="J12" s="18" t="str">
        <x:v>—</x:v>
      </x:c>
    </x:row>
    <x:row r="13" ht="34" customHeight="1">
      <x:c r="A13" s="18" t="str">
        <x:v>资讯-发行</x:v>
      </x:c>
      <x:c r="B13" s="18" t="str">
        <x:v>A股增发</x:v>
      </x:c>
      <x:c r="C13" s="18" t="str">
        <x:v>A010020002</x:v>
      </x:c>
      <x:c r="D13" s="18" t="str">
        <x:v>111–115</x:v>
      </x:c>
      <x:c r="E13" s="18" t="str">
        <x:v>是</x:v>
      </x:c>
      <x:c r="F13" s="18" t="str">
        <x:v>INVENTORIED</x:v>
      </x:c>
      <x:c r="G13" s="18" t="str">
        <x:v>章节详列</x:v>
      </x:c>
      <x:c r="H13" s="18" t="str">
        <x:v>字段表</x:v>
      </x:c>
      <x:c r="I13" s="18" t="str">
        <x:v>待映射到 AmazingData wrapper</x:v>
      </x:c>
      <x:c r="J13" s="18" t="str">
        <x:v>—</x:v>
      </x:c>
    </x:row>
    <x:row r="14" ht="34" customHeight="1">
      <x:c r="A14" s="18" t="str">
        <x:v>资讯-分配</x:v>
      </x:c>
      <x:c r="B14" s="18" t="str">
        <x:v>A股分红</x:v>
      </x:c>
      <x:c r="C14" s="18" t="str">
        <x:v>A010030001</x:v>
      </x:c>
      <x:c r="D14" s="18" t="str">
        <x:v>115–116</x:v>
      </x:c>
      <x:c r="E14" s="18" t="str">
        <x:v>是</x:v>
      </x:c>
      <x:c r="F14" s="18" t="str">
        <x:v>INVENTORIED</x:v>
      </x:c>
      <x:c r="G14" s="18" t="str">
        <x:v>章节详列</x:v>
      </x:c>
      <x:c r="H14" s="18" t="str">
        <x:v>字段表</x:v>
      </x:c>
      <x:c r="I14" s="18" t="str">
        <x:v>对应 AD get_dividend（推断）</x:v>
      </x:c>
      <x:c r="J14" s="18" t="str">
        <x:v>对应 AD get_dividend（推断）</x:v>
      </x:c>
    </x:row>
    <x:row r="15" ht="34" customHeight="1">
      <x:c r="A15" s="18" t="str">
        <x:v>资讯-分配</x:v>
      </x:c>
      <x:c r="B15" s="18" t="str">
        <x:v>A股配股</x:v>
      </x:c>
      <x:c r="C15" s="18" t="str">
        <x:v>A010030002</x:v>
      </x:c>
      <x:c r="D15" s="18" t="str">
        <x:v>117–120</x:v>
      </x:c>
      <x:c r="E15" s="18" t="str">
        <x:v>是</x:v>
      </x:c>
      <x:c r="F15" s="18" t="str">
        <x:v>INVENTORIED</x:v>
      </x:c>
      <x:c r="G15" s="18" t="str">
        <x:v>章节详列</x:v>
      </x:c>
      <x:c r="H15" s="18" t="str">
        <x:v>字段表</x:v>
      </x:c>
      <x:c r="I15" s="18" t="str">
        <x:v>对应 AD get_right_issue（推断）</x:v>
      </x:c>
      <x:c r="J15" s="18" t="str">
        <x:v>对应 AD get_right_issue（推断）</x:v>
      </x:c>
    </x:row>
    <x:row r="16" ht="34" customHeight="1">
      <x:c r="A16" s="18" t="str">
        <x:v>资讯-分配</x:v>
      </x:c>
      <x:c r="B16" s="18" t="str">
        <x:v>除权除息</x:v>
      </x:c>
      <x:c r="C16" s="18" t="str">
        <x:v>A010030003</x:v>
      </x:c>
      <x:c r="D16" s="18" t="str">
        <x:v>120–121</x:v>
      </x:c>
      <x:c r="E16" s="18" t="str">
        <x:v>是</x:v>
      </x:c>
      <x:c r="F16" s="18" t="str">
        <x:v>INVENTORIED</x:v>
      </x:c>
      <x:c r="G16" s="18" t="str">
        <x:v>章节详列</x:v>
      </x:c>
      <x:c r="H16" s="18" t="str">
        <x:v>字段表</x:v>
      </x:c>
      <x:c r="I16" s="18" t="str">
        <x:v>待映射到 AmazingData wrapper</x:v>
      </x:c>
      <x:c r="J16" s="18" t="str">
        <x:v>—</x:v>
      </x:c>
    </x:row>
    <x:row r="17" ht="34" customHeight="1">
      <x:c r="A17" s="18" t="str">
        <x:v>资讯-分配</x:v>
      </x:c>
      <x:c r="B17" s="18" t="str">
        <x:v>复权因子表</x:v>
      </x:c>
      <x:c r="C17" s="18" t="str">
        <x:v>A010030004</x:v>
      </x:c>
      <x:c r="D17" s="18" t="str">
        <x:v>121–123</x:v>
      </x:c>
      <x:c r="E17" s="18" t="str">
        <x:v>是</x:v>
      </x:c>
      <x:c r="F17" s="18" t="str">
        <x:v>INVENTORIED</x:v>
      </x:c>
      <x:c r="G17" s="18" t="str">
        <x:v>章节详列</x:v>
      </x:c>
      <x:c r="H17" s="18" t="str">
        <x:v>字段表</x:v>
      </x:c>
      <x:c r="I17" s="18" t="str">
        <x:v>待映射到 AmazingData wrapper</x:v>
      </x:c>
      <x:c r="J17" s="18" t="str">
        <x:v>与 TGW 查询接口 #39 语义重叠，来源通道不同</x:v>
      </x:c>
    </x:row>
    <x:row r="18" ht="34" customHeight="1">
      <x:c r="A18" s="18" t="str">
        <x:v>资讯-股本股东</x:v>
      </x:c>
      <x:c r="B18" s="18" t="str">
        <x:v>十大股东</x:v>
      </x:c>
      <x:c r="C18" s="18" t="str">
        <x:v>A010040001</x:v>
      </x:c>
      <x:c r="D18" s="18" t="str">
        <x:v>123–124</x:v>
      </x:c>
      <x:c r="E18" s="18" t="str">
        <x:v>是</x:v>
      </x:c>
      <x:c r="F18" s="18" t="str">
        <x:v>INVENTORIED</x:v>
      </x:c>
      <x:c r="G18" s="18" t="str">
        <x:v>章节详列</x:v>
      </x:c>
      <x:c r="H18" s="18" t="str">
        <x:v>字段表</x:v>
      </x:c>
      <x:c r="I18" s="18" t="str">
        <x:v>对应 AD get_share_holder（推断）</x:v>
      </x:c>
      <x:c r="J18" s="18" t="str">
        <x:v>对应 AD get_share_holder（推断）</x:v>
      </x:c>
    </x:row>
    <x:row r="19" ht="34" customHeight="1">
      <x:c r="A19" s="18" t="str">
        <x:v>资讯-股本股东</x:v>
      </x:c>
      <x:c r="B19" s="18" t="str">
        <x:v>限售解禁明细</x:v>
      </x:c>
      <x:c r="C19" s="18" t="str">
        <x:v>A010040002</x:v>
      </x:c>
      <x:c r="D19" s="18" t="str">
        <x:v>124–125</x:v>
      </x:c>
      <x:c r="E19" s="18" t="str">
        <x:v>是</x:v>
      </x:c>
      <x:c r="F19" s="18" t="str">
        <x:v>INVENTORIED</x:v>
      </x:c>
      <x:c r="G19" s="18" t="str">
        <x:v>章节详列</x:v>
      </x:c>
      <x:c r="H19" s="18" t="str">
        <x:v>字段表</x:v>
      </x:c>
      <x:c r="I19" s="18" t="str">
        <x:v>待映射到 AmazingData wrapper</x:v>
      </x:c>
      <x:c r="J19" s="18" t="str">
        <x:v>—</x:v>
      </x:c>
    </x:row>
    <x:row r="20" ht="34" customHeight="1">
      <x:c r="A20" s="18" t="str">
        <x:v>资讯-股本股东</x:v>
      </x:c>
      <x:c r="B20" s="18" t="str">
        <x:v>解禁数据</x:v>
      </x:c>
      <x:c r="C20" s="18" t="str">
        <x:v>A010040003</x:v>
      </x:c>
      <x:c r="D20" s="18" t="str">
        <x:v>125–126</x:v>
      </x:c>
      <x:c r="E20" s="18" t="str">
        <x:v>是</x:v>
      </x:c>
      <x:c r="F20" s="18" t="str">
        <x:v>INVENTORIED</x:v>
      </x:c>
      <x:c r="G20" s="18" t="str">
        <x:v>章节详列</x:v>
      </x:c>
      <x:c r="H20" s="18" t="str">
        <x:v>字段表</x:v>
      </x:c>
      <x:c r="I20" s="18" t="str">
        <x:v>待映射到 AmazingData wrapper</x:v>
      </x:c>
      <x:c r="J20" s="18" t="str">
        <x:v>—</x:v>
      </x:c>
    </x:row>
    <x:row r="21" ht="34" customHeight="1">
      <x:c r="A21" s="18" t="str">
        <x:v>资讯-股本股东</x:v>
      </x:c>
      <x:c r="B21" s="18" t="str">
        <x:v>股权冻结/质押</x:v>
      </x:c>
      <x:c r="C21" s="18" t="str">
        <x:v>A010040004</x:v>
      </x:c>
      <x:c r="D21" s="18" t="str">
        <x:v>126–128</x:v>
      </x:c>
      <x:c r="E21" s="18" t="str">
        <x:v>是</x:v>
      </x:c>
      <x:c r="F21" s="18" t="str">
        <x:v>INVENTORIED</x:v>
      </x:c>
      <x:c r="G21" s="18" t="str">
        <x:v>章节详列</x:v>
      </x:c>
      <x:c r="H21" s="18" t="str">
        <x:v>字段表</x:v>
      </x:c>
      <x:c r="I21" s="18" t="str">
        <x:v>对应 AD get_equity_pledge_freeze（推断）</x:v>
      </x:c>
      <x:c r="J21" s="18" t="str">
        <x:v>对应 AD get_equity_pledge_freeze（推断）</x:v>
      </x:c>
    </x:row>
    <x:row r="22" ht="34" customHeight="1">
      <x:c r="A22" s="18" t="str">
        <x:v>资讯-财务</x:v>
      </x:c>
      <x:c r="B22" s="18" t="str">
        <x:v>资产负债表</x:v>
      </x:c>
      <x:c r="C22" s="18" t="str">
        <x:v>A010050001</x:v>
      </x:c>
      <x:c r="D22" s="18" t="str">
        <x:v>128–137</x:v>
      </x:c>
      <x:c r="E22" s="18" t="str">
        <x:v>是</x:v>
      </x:c>
      <x:c r="F22" s="18" t="str">
        <x:v>INVENTORIED</x:v>
      </x:c>
      <x:c r="G22" s="18" t="str">
        <x:v>章节详列</x:v>
      </x:c>
      <x:c r="H22" s="18" t="str">
        <x:v>大宽表</x:v>
      </x:c>
      <x:c r="I22" s="18" t="str">
        <x:v>列数极大，建议只取 shape 摘要；对应 AD get_balance_sheet（推断）</x:v>
      </x:c>
      <x:c r="J22" s="18" t="str">
        <x:v>列数极大，建议只取 shape 摘要；对应 AD get_balance_sheet（推断）</x:v>
      </x:c>
    </x:row>
    <x:row r="23" ht="34" customHeight="1">
      <x:c r="A23" s="18" t="str">
        <x:v>资讯-财务</x:v>
      </x:c>
      <x:c r="B23" s="18" t="str">
        <x:v>利润表</x:v>
      </x:c>
      <x:c r="C23" s="18" t="str">
        <x:v>A010050002</x:v>
      </x:c>
      <x:c r="D23" s="18" t="str">
        <x:v>137–144</x:v>
      </x:c>
      <x:c r="E23" s="18" t="str">
        <x:v>是</x:v>
      </x:c>
      <x:c r="F23" s="18" t="str">
        <x:v>INVENTORIED</x:v>
      </x:c>
      <x:c r="G23" s="18" t="str">
        <x:v>章节详列</x:v>
      </x:c>
      <x:c r="H23" s="18" t="str">
        <x:v>大宽表</x:v>
      </x:c>
      <x:c r="I23" s="18" t="str">
        <x:v>对应 AD get_income（推断）</x:v>
      </x:c>
      <x:c r="J23" s="18" t="str">
        <x:v>对应 AD get_income（推断）</x:v>
      </x:c>
    </x:row>
    <x:row r="24" ht="34" customHeight="1">
      <x:c r="A24" s="18" t="str">
        <x:v>资讯-财务</x:v>
      </x:c>
      <x:c r="B24" s="18" t="str">
        <x:v>现金流量表</x:v>
      </x:c>
      <x:c r="C24" s="18" t="str">
        <x:v>A010050003</x:v>
      </x:c>
      <x:c r="D24" s="18" t="str">
        <x:v>144–152</x:v>
      </x:c>
      <x:c r="E24" s="18" t="str">
        <x:v>是</x:v>
      </x:c>
      <x:c r="F24" s="18" t="str">
        <x:v>INVENTORIED</x:v>
      </x:c>
      <x:c r="G24" s="18" t="str">
        <x:v>章节详列</x:v>
      </x:c>
      <x:c r="H24" s="18" t="str">
        <x:v>大宽表</x:v>
      </x:c>
      <x:c r="I24" s="18" t="str">
        <x:v>对应 AD get_cash_flow（推断）</x:v>
      </x:c>
      <x:c r="J24" s="18" t="str">
        <x:v>对应 AD get_cash_flow（推断）</x:v>
      </x:c>
    </x:row>
    <x:row r="25" ht="34" customHeight="1">
      <x:c r="A25" s="18" t="str">
        <x:v>资讯-财务</x:v>
      </x:c>
      <x:c r="B25" s="18" t="str">
        <x:v>财务指标</x:v>
      </x:c>
      <x:c r="C25" s="18" t="str">
        <x:v>A010050004</x:v>
      </x:c>
      <x:c r="D25" s="18" t="str">
        <x:v>152–162</x:v>
      </x:c>
      <x:c r="E25" s="18" t="str">
        <x:v>是</x:v>
      </x:c>
      <x:c r="F25" s="18" t="str">
        <x:v>INVENTORIED</x:v>
      </x:c>
      <x:c r="G25" s="18" t="str">
        <x:v>章节详列</x:v>
      </x:c>
      <x:c r="H25" s="18" t="str">
        <x:v>字段表</x:v>
      </x:c>
      <x:c r="I25" s="18" t="str">
        <x:v>待映射到 AmazingData wrapper</x:v>
      </x:c>
      <x:c r="J25" s="18" t="str">
        <x:v>—</x:v>
      </x:c>
    </x:row>
    <x:row r="26" ht="34" customHeight="1">
      <x:c r="A26" s="18" t="str">
        <x:v>资讯-财务</x:v>
      </x:c>
      <x:c r="B26" s="18" t="str">
        <x:v>业绩预告</x:v>
      </x:c>
      <x:c r="C26" s="18" t="str">
        <x:v>A010050005</x:v>
      </x:c>
      <x:c r="D26" s="18" t="str">
        <x:v>162–164</x:v>
      </x:c>
      <x:c r="E26" s="18" t="str">
        <x:v>是</x:v>
      </x:c>
      <x:c r="F26" s="18" t="str">
        <x:v>INVENTORIED</x:v>
      </x:c>
      <x:c r="G26" s="18" t="str">
        <x:v>章节详列</x:v>
      </x:c>
      <x:c r="H26" s="18" t="str">
        <x:v>字段表</x:v>
      </x:c>
      <x:c r="I26" s="18" t="str">
        <x:v>对应 AD get_profit_notice（推断）</x:v>
      </x:c>
      <x:c r="J26" s="18" t="str">
        <x:v>对应 AD get_profit_notice（推断）</x:v>
      </x:c>
    </x:row>
    <x:row r="27" ht="34" customHeight="1">
      <x:c r="A27" s="18" t="str">
        <x:v>资讯-财务</x:v>
      </x:c>
      <x:c r="B27" s="18" t="str">
        <x:v>财务衍生指标</x:v>
      </x:c>
      <x:c r="C27" s="18" t="str">
        <x:v>A010050006</x:v>
      </x:c>
      <x:c r="D27" s="18" t="str">
        <x:v>164–172</x:v>
      </x:c>
      <x:c r="E27" s="18" t="str">
        <x:v>是</x:v>
      </x:c>
      <x:c r="F27" s="18" t="str">
        <x:v>INVENTORIED</x:v>
      </x:c>
      <x:c r="G27" s="18" t="str">
        <x:v>章节详列</x:v>
      </x:c>
      <x:c r="H27" s="18" t="str">
        <x:v>字段表</x:v>
      </x:c>
      <x:c r="I27" s="18" t="str">
        <x:v>待映射到 AmazingData wrapper</x:v>
      </x:c>
      <x:c r="J27" s="18" t="str">
        <x:v>—</x:v>
      </x:c>
    </x:row>
    <x:row r="28" ht="34" customHeight="1">
      <x:c r="A28" s="18" t="str">
        <x:v>资讯-交易日历</x:v>
      </x:c>
      <x:c r="B28" s="18" t="str">
        <x:v>交易日历(京沪深A)</x:v>
      </x:c>
      <x:c r="C28" s="18" t="str">
        <x:v>A010060001</x:v>
      </x:c>
      <x:c r="D28" s="18" t="str">
        <x:v>172–173</x:v>
      </x:c>
      <x:c r="E28" s="18" t="str">
        <x:v>是</x:v>
      </x:c>
      <x:c r="F28" s="18" t="str">
        <x:v>LIVE_ALIGNED</x:v>
      </x:c>
      <x:c r="G28" s="18" t="str">
        <x:v>start_date,end_date(≤30天)</x:v>
      </x:c>
      <x:c r="H28" s="18" t="str">
        <x:v>EXCHANGE(+INT),TRADE_DAYS,LAST/NEXT_TRADE_DAYS</x:v>
      </x:c>
      <x:c r="I28" s="18" t="str">
        <x:v>待映射到 AmazingData wrapper</x:v>
      </x:c>
      <x:c r="J28" s="18" t="str">
        <x:v>现有 A010061003 线上证据与本 PDF 目录不一致，必须保留版本差异</x:v>
      </x:c>
    </x:row>
    <x:row r="29" ht="34" customHeight="1">
      <x:c r="A29" s="18" t="str">
        <x:v>资讯-交易日历</x:v>
      </x:c>
      <x:c r="B29" s="18" t="str">
        <x:v>交易日历(含期货期权)</x:v>
      </x:c>
      <x:c r="C29" s="18" t="str">
        <x:v>A010061001</x:v>
      </x:c>
      <x:c r="D29" s="18" t="str">
        <x:v>173–174</x:v>
      </x:c>
      <x:c r="E29" s="18" t="str">
        <x:v>是</x:v>
      </x:c>
      <x:c r="F29" s="18" t="str">
        <x:v>INVENTORIED</x:v>
      </x:c>
      <x:c r="G29" s="18" t="str">
        <x:v>同上+market 可选</x:v>
      </x:c>
      <x:c r="H29" s="18" t="str">
        <x:v>同上（CFFEX/CZCE 示例）</x:v>
      </x:c>
      <x:c r="I29" s="18" t="str">
        <x:v>待映射到 AmazingData wrapper</x:v>
      </x:c>
      <x:c r="J29" s="18" t="str">
        <x:v>现有 A010061003 线上证据与本 PDF 目录不一致，必须保留版本差异</x:v>
      </x:c>
    </x:row>
    <x:row r="30" ht="34" customHeight="1">
      <x:c r="A30" s="18" t="str">
        <x:v>资讯-异动</x:v>
      </x:c>
      <x:c r="B30" s="18" t="str">
        <x:v>大宗交易</x:v>
      </x:c>
      <x:c r="C30" s="18" t="str">
        <x:v>A010070001</x:v>
      </x:c>
      <x:c r="D30" s="18" t="str">
        <x:v>175–176</x:v>
      </x:c>
      <x:c r="E30" s="18" t="str">
        <x:v>是</x:v>
      </x:c>
      <x:c r="F30" s="18" t="str">
        <x:v>INVENTORIED</x:v>
      </x:c>
      <x:c r="G30" s="18" t="str">
        <x:v>market_code,start/end_date(0=最新)</x:v>
      </x:c>
      <x:c r="H30" s="18" t="str">
        <x:v>成交价/量/金额/营业部</x:v>
      </x:c>
      <x:c r="I30" s="18" t="str">
        <x:v>对应 AD get_block_trading（推断）</x:v>
      </x:c>
      <x:c r="J30" s="18" t="str">
        <x:v>对应 AD get_block_trading（推断）</x:v>
      </x:c>
    </x:row>
    <x:row r="31" ht="34" customHeight="1">
      <x:c r="A31" s="18" t="str">
        <x:v>资讯-异动</x:v>
      </x:c>
      <x:c r="B31" s="18" t="str">
        <x:v>龙虎榜营业部</x:v>
      </x:c>
      <x:c r="C31" s="18" t="str">
        <x:v>A010070002</x:v>
      </x:c>
      <x:c r="D31" s="18" t="str">
        <x:v>176–177</x:v>
      </x:c>
      <x:c r="E31" s="18" t="str">
        <x:v>是</x:v>
      </x:c>
      <x:c r="F31" s="18" t="str">
        <x:v>INVENTORIED</x:v>
      </x:c>
      <x:c r="G31" s="18" t="str">
        <x:v>章节详列</x:v>
      </x:c>
      <x:c r="H31" s="18" t="str">
        <x:v>字段表</x:v>
      </x:c>
      <x:c r="I31" s="18" t="str">
        <x:v>对应 AD get_long_hu_bang（推断）</x:v>
      </x:c>
      <x:c r="J31" s="18" t="str">
        <x:v>对应 AD get_long_hu_bang（推断）</x:v>
      </x:c>
    </x:row>
    <x:row r="32" ht="34" customHeight="1">
      <x:c r="A32" s="18" t="str">
        <x:v>资讯-两融</x:v>
      </x:c>
      <x:c r="B32" s="18" t="str">
        <x:v>融资融券交易明细</x:v>
      </x:c>
      <x:c r="C32" s="18" t="str">
        <x:v>A010080001</x:v>
      </x:c>
      <x:c r="D32" s="18" t="str">
        <x:v>177–179</x:v>
      </x:c>
      <x:c r="E32" s="18" t="str">
        <x:v>是</x:v>
      </x:c>
      <x:c r="F32" s="18" t="str">
        <x:v>INVENTORIED</x:v>
      </x:c>
      <x:c r="G32" s="18" t="str">
        <x:v>章节详列</x:v>
      </x:c>
      <x:c r="H32" s="18" t="str">
        <x:v>字段表</x:v>
      </x:c>
      <x:c r="I32" s="18" t="str">
        <x:v>对应 AD get_margin_detail（推断）</x:v>
      </x:c>
      <x:c r="J32" s="18" t="str">
        <x:v>对应 AD get_margin_detail（推断）</x:v>
      </x:c>
    </x:row>
    <x:row r="33" ht="34" customHeight="1">
      <x:c r="A33" s="18" t="str">
        <x:v>资讯-两融</x:v>
      </x:c>
      <x:c r="B33" s="18" t="str">
        <x:v>融资融券成交汇总</x:v>
      </x:c>
      <x:c r="C33" s="18" t="str">
        <x:v>A010080002</x:v>
      </x:c>
      <x:c r="D33" s="18" t="str">
        <x:v>179–180</x:v>
      </x:c>
      <x:c r="E33" s="18" t="str">
        <x:v>是</x:v>
      </x:c>
      <x:c r="F33" s="18" t="str">
        <x:v>INVENTORIED</x:v>
      </x:c>
      <x:c r="G33" s="18" t="str">
        <x:v>章节详列</x:v>
      </x:c>
      <x:c r="H33" s="18" t="str">
        <x:v>字段表</x:v>
      </x:c>
      <x:c r="I33" s="18" t="str">
        <x:v>对应 AD get_margin_summary（推断）</x:v>
      </x:c>
      <x:c r="J33" s="18" t="str">
        <x:v>对应 AD get_margin_summary（推断）</x:v>
      </x:c>
    </x:row>
    <x:row r="34" ht="34" customHeight="1">
      <x:c r="A34" s="18" t="str">
        <x:v>资讯-基金</x:v>
      </x:c>
      <x:c r="B34" s="18" t="str">
        <x:v>基金最新指标</x:v>
      </x:c>
      <x:c r="C34" s="18" t="str">
        <x:v>A010090001</x:v>
      </x:c>
      <x:c r="D34" s="18" t="str">
        <x:v>180</x:v>
      </x:c>
      <x:c r="E34" s="18" t="str">
        <x:v>是</x:v>
      </x:c>
      <x:c r="F34" s="18" t="str">
        <x:v>INVENTORIED</x:v>
      </x:c>
      <x:c r="G34" s="18" t="str">
        <x:v>章节详列</x:v>
      </x:c>
      <x:c r="H34" s="18" t="str">
        <x:v>字段表</x:v>
      </x:c>
      <x:c r="I34" s="18" t="str">
        <x:v>待映射到 AmazingData wrapper</x:v>
      </x:c>
      <x:c r="J34" s="18" t="str">
        <x:v>—</x:v>
      </x:c>
    </x:row>
    <x:row r="35" ht="34" customHeight="1">
      <x:c r="A35" s="18" t="str">
        <x:v>资讯-指数</x:v>
      </x:c>
      <x:c r="B35" s="18" t="str">
        <x:v>A股指数成分股</x:v>
      </x:c>
      <x:c r="C35" s="18" t="str">
        <x:v>A010200001</x:v>
      </x:c>
      <x:c r="D35" s="18" t="str">
        <x:v>180–181</x:v>
      </x:c>
      <x:c r="E35" s="18" t="str">
        <x:v>是</x:v>
      </x:c>
      <x:c r="F35" s="18" t="str">
        <x:v>INVENTORIED</x:v>
      </x:c>
      <x:c r="G35" s="18" t="str">
        <x:v>章节详列</x:v>
      </x:c>
      <x:c r="H35" s="18" t="str">
        <x:v>成分列表</x:v>
      </x:c>
      <x:c r="I35" s="18" t="str">
        <x:v>对应 AD get_index_constituent（推断）</x:v>
      </x:c>
      <x:c r="J35" s="18" t="str">
        <x:v>对应 AD get_index_constituent（推断）</x:v>
      </x:c>
    </x:row>
  </x:sheetData>
  <x:mergeCells>
    <x:mergeCell ref="A1:J1"/>
    <x:mergeCell ref="A2:J2"/>
  </x:mergeCells>
  <x:conditionalFormatting sqref="F5:F35">
    <x:cfRule type="containsText" dxfId="4" priority="1" operator="containsText" text="LIVE_ALIGNED"/>
  </x:conditionalFormatting>
  <x:dataValidations count="1">
    <x:dataValidation type="list" sqref="F5:F35">
      <x:formula1>'状态字典'!$A$5:$A$16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2" hidden="0" customWidth="1"/>
    <x:col min="5" max="5" width="68" hidden="0" customWidth="1"/>
    <x:col min="6" max="6" width="22" hidden="0" customWidth="1"/>
    <x:col min="7" max="7" width="34" hidden="0" customWidth="1"/>
    <x:col min="8" max="8" width="58" hidden="0" customWidth="1"/>
  </x:cols>
  <x:sheetData>
    <x:row r="1" ht="36" customHeight="1">
      <x:c r="A1" s="3" t="str">
        <x:v>请求、响应与回调结构台账</x:v>
      </x:c>
      <x:c r="B1" s="3" t="str">
        <x:v>请求、响应与回调结构台账</x:v>
      </x:c>
      <x:c r="C1" s="3" t="str">
        <x:v>请求、响应与回调结构台账</x:v>
      </x:c>
      <x:c r="D1" s="3" t="str">
        <x:v>请求、响应与回调结构台账</x:v>
      </x:c>
      <x:c r="E1" s="3" t="str">
        <x:v>请求、响应与回调结构台账</x:v>
      </x:c>
      <x:c r="F1" s="3" t="str">
        <x:v>请求、响应与回调结构台账</x:v>
      </x:c>
      <x:c r="G1" s="3" t="str">
        <x:v>请求、响应与回调结构台账</x:v>
      </x:c>
      <x:c r="H1" s="3" t="str">
        <x:v>请求、响应与回调结构台账</x:v>
      </x:c>
    </x:row>
    <x:row r="2" ht="32" customHeight="1">
      <x:c r="A2" s="7" t="str">
        <x:v>类型、位宽、pack、默认值、时间格式和缩放必须逐字段取证；此表先登记已知结构与待办。</x:v>
      </x:c>
      <x:c r="B2" s="7" t="str">
        <x:v>类型、位宽、pack、默认值、时间格式和缩放必须逐字段取证；此表先登记已知结构与待办。</x:v>
      </x:c>
      <x:c r="C2" s="7" t="str">
        <x:v>类型、位宽、pack、默认值、时间格式和缩放必须逐字段取证；此表先登记已知结构与待办。</x:v>
      </x:c>
      <x:c r="D2" s="7" t="str">
        <x:v>类型、位宽、pack、默认值、时间格式和缩放必须逐字段取证；此表先登记已知结构与待办。</x:v>
      </x:c>
      <x:c r="E2" s="7" t="str">
        <x:v>类型、位宽、pack、默认值、时间格式和缩放必须逐字段取证；此表先登记已知结构与待办。</x:v>
      </x:c>
      <x:c r="F2" s="7" t="str">
        <x:v>类型、位宽、pack、默认值、时间格式和缩放必须逐字段取证；此表先登记已知结构与待办。</x:v>
      </x:c>
      <x:c r="G2" s="7" t="str">
        <x:v>类型、位宽、pack、默认值、时间格式和缩放必须逐字段取证；此表先登记已知结构与待办。</x:v>
      </x:c>
      <x:c r="H2" s="7" t="str">
        <x:v>类型、位宽、pack、默认值、时间格式和缩放必须逐字段取证；此表先登记已知结构与待办。</x:v>
      </x:c>
    </x:row>
    <x:row r="4" ht="30" customHeight="1">
      <x:c r="A4" s="13" t="str">
        <x:v>来源</x:v>
      </x:c>
      <x:c r="B4" s="13" t="str">
        <x:v>结构</x:v>
      </x:c>
      <x:c r="C4" s="13" t="str">
        <x:v>PDF页</x:v>
      </x:c>
      <x:c r="D4" s="13" t="str">
        <x:v>形态</x:v>
      </x:c>
      <x:c r="E4" s="13" t="str">
        <x:v>字段/类型摘要</x:v>
      </x:c>
      <x:c r="F4" s="13" t="str">
        <x:v>状态</x:v>
      </x:c>
      <x:c r="G4" s="13" t="str">
        <x:v>验证范围</x:v>
      </x:c>
      <x:c r="H4" s="13" t="str">
        <x:v>验收重点/风险</x:v>
      </x:c>
    </x:row>
    <x:row r="5" ht="38" customHeight="1">
      <x:c r="A5" s="18" t="str">
        <x:v>TGW C++ 开发手册</x:v>
      </x:c>
      <x:c r="B5" s="18" t="str">
        <x:v>Cfg</x:v>
      </x:c>
      <x:c r="C5" s="18" t="str">
        <x:v>24（16）/头文件</x:v>
      </x:c>
      <x:c r="D5" s="18" t="str">
        <x:v>pack(1) ctypes</x:v>
      </x:c>
      <x:c r="E5" s="18" t="str">
        <x:v>sizeof=145；服务器、账号、密码、模式等固定宽度字段</x:v>
      </x:c>
      <x:c r="F5" s="18" t="str">
        <x:v>STATIC_MATCHED</x:v>
      </x:c>
      <x:c r="G5" s="18" t="str">
        <x:v>STATIC_MATCHED</x:v>
      </x:c>
      <x:c r="H5" s="18" t="str">
        <x:v>禁止打印凭据字段</x:v>
      </x:c>
    </x:row>
    <x:row r="6" ht="38" customHeight="1">
      <x:c r="A6" s="18" t="str">
        <x:v>TGW C++ 开发手册</x:v>
      </x:c>
      <x:c r="B6" s="18" t="str">
        <x:v>LogonResponse</x:v>
      </x:c>
      <x:c r="C6" s="18" t="str">
        <x:v>24（16）/头文件</x:v>
      </x:c>
      <x:c r="D6" s="18" t="str">
        <x:v>pack(1) ctypes</x:v>
      </x:c>
      <x:c r="E6" s="18" t="str">
        <x:v>sizeof=14；状态/版本等控制字段</x:v>
      </x:c>
      <x:c r="F6" s="18" t="str">
        <x:v>STATIC_MATCHED</x:v>
      </x:c>
      <x:c r="G6" s="18" t="str">
        <x:v>STATIC_MATCHED</x:v>
      </x:c>
      <x:c r="H6" s="18" t="str">
        <x:v>token 不进入证据</x:v>
      </x:c>
    </x:row>
    <x:row r="7" ht="38" customHeight="1">
      <x:c r="A7" s="18" t="str">
        <x:v>TGW C++ 开发手册</x:v>
      </x:c>
      <x:c r="B7" s="18" t="str">
        <x:v>SubscribeItem</x:v>
      </x:c>
      <x:c r="C7" s="18" t="str">
        <x:v>25–26（17–18）</x:v>
      </x:c>
      <x:c r="D7" s="18" t="str">
        <x:v>pack(1) ctypes</x:v>
      </x:c>
      <x:c r="E7" s="18" t="str">
        <x:v>uint8 market + uint64 flag + char[32] security_code + uint8 category_type；sizeof=42</x:v>
      </x:c>
      <x:c r="F7" s="18" t="str">
        <x:v>STATIC_MATCHED</x:v>
      </x:c>
      <x:c r="G7" s="18" t="str">
        <x:v>STATIC_MATCHED</x:v>
      </x:c>
      <x:c r="H7" s="18" t="str">
        <x:v>公开 flag 与 wire 值分层</x:v>
      </x:c>
    </x:row>
    <x:row r="8" ht="38" customHeight="1">
      <x:c r="A8" s="18" t="str">
        <x:v>TGW C++ 开发手册</x:v>
      </x:c>
      <x:c r="B8" s="18" t="str">
        <x:v>ReqKline</x:v>
      </x:c>
      <x:c r="C8" s="18" t="str">
        <x:v>33–34（25–26）</x:v>
      </x:c>
      <x:c r="D8" s="18" t="str">
        <x:v>pack(1) ctypes</x:v>
      </x:c>
      <x:c r="E8" s="18" t="str">
        <x:v>sizeof=71；cyc_type 公共枚举；日期/时间为整数</x:v>
      </x:c>
      <x:c r="F8" s="18" t="str">
        <x:v>LIVE_ALIGNED</x:v>
      </x:c>
      <x:c r="G8" s="18" t="str">
        <x:v>LIVE_ALIGNED(daily + weekly + monthly only)</x:v>
      </x:c>
      <x:c r="H8" s="18" t="str">
        <x:v>季/年/分钟族逐周期验证</x:v>
      </x:c>
    </x:row>
    <x:row r="9" ht="38" customHeight="1">
      <x:c r="A9" s="18" t="str">
        <x:v>TGW C++ 开发手册</x:v>
      </x:c>
      <x:c r="B9" s="18" t="str">
        <x:v>ReqDefault</x:v>
      </x:c>
      <x:c r="C9" s="18" t="str">
        <x:v>34（26）/V1.0.8 头文件</x:v>
      </x:c>
      <x:c r="D9" s="18" t="str">
        <x:v>pack(1) ctypes</x:v>
      </x:c>
      <x:c r="E9" s="18" t="str">
        <x:v>sizeof=55；头文件较 PDF 多 level_type:uint16_t=0</x:v>
      </x:c>
      <x:c r="F9" s="18" t="str">
        <x:v>STATIC_MATCHED</x:v>
      </x:c>
      <x:c r="G9" s="18" t="str">
        <x:v>STATIC_MATCHED</x:v>
      </x:c>
      <x:c r="H9" s="18" t="str">
        <x:v>保留 PDF/头文件差异</x:v>
      </x:c>
    </x:row>
    <x:row r="10" ht="38" customHeight="1">
      <x:c r="A10" s="18" t="str">
        <x:v>TGW C++ 开发手册</x:v>
      </x:c>
      <x:c r="B10" s="18" t="str">
        <x:v>MDKLine</x:v>
      </x:c>
      <x:c r="C10" s="18" t="str">
        <x:v>60 起</x:v>
      </x:c>
      <x:c r="D10" s="18" t="str">
        <x:v>回调数组</x:v>
      </x:c>
      <x:c r="E10" s="18" t="str">
        <x:v>市场/代码/时间/OHLC/量额/周期；整数缩放</x:v>
      </x:c>
      <x:c r="F10" s="18" t="str">
        <x:v>LIVE_ALIGNED</x:v>
      </x:c>
      <x:c r="G10" s="18" t="str">
        <x:v>LIVE_ALIGNED(daily + weekly + monthly low-level)</x:v>
      </x:c>
      <x:c r="H10" s="18" t="str">
        <x:v>缩放和其它周期时间语义待扩展</x:v>
      </x:c>
    </x:row>
    <x:row r="11" ht="38" customHeight="1">
      <x:c r="A11" s="18" t="str">
        <x:v>TGW C++ 开发手册</x:v>
      </x:c>
      <x:c r="B11" s="18" t="str">
        <x:v>MDCodeTable</x:v>
      </x:c>
      <x:c r="C11" s="18" t="str">
        <x:v>36（28）/头文件</x:v>
      </x:c>
      <x:c r="D11" s="18" t="str">
        <x:v>pack(1) callback</x:v>
      </x:c>
      <x:c r="E11" s="18" t="str">
        <x:v>code[16]/symbol[32]/en_name[128]/market u8/type[10]/currency[4]；sizeof=191</x:v>
      </x:c>
      <x:c r="F11" s="18" t="str">
        <x:v>ARM_IMPLEMENTED</x:v>
      </x:c>
      <x:c r="G11" s="18" t="str">
        <x:v>ARM_IMPLEMENTED</x:v>
      </x:c>
      <x:c r="H11" s="18" t="str">
        <x:v>wire 已证（tag 11103 反引号 6 字段）；服务端全市场缺第 3 包阻塞成功同参</x:v>
      </x:c>
    </x:row>
    <x:row r="12" ht="38" customHeight="1">
      <x:c r="A12" s="18" t="str">
        <x:v>TGW C++ 开发手册</x:v>
      </x:c>
      <x:c r="B12" s="18" t="str">
        <x:v>SubCodeTableItem</x:v>
      </x:c>
      <x:c r="C12" s="18" t="str">
        <x:v>39（31）/头文件</x:v>
      </x:c>
      <x:c r="D12" s="18" t="str">
        <x:v>pack(1) request</x:v>
      </x:c>
      <x:c r="E12" s="18" t="str">
        <x:v>market:int32（有符号） + security_code[32]；sizeof=36</x:v>
      </x:c>
      <x:c r="F12" s="18" t="str">
        <x:v>LIVE_ALIGNED</x:v>
      </x:c>
      <x:c r="G12" s="18" t="str">
        <x:v>LIVE_ALIGNED(single SSE ETF request)</x:v>
      </x:c>
      <x:c r="H12" s="18" t="str">
        <x:v>仅 101+510300；其它市场另取证</x:v>
      </x:c>
    </x:row>
    <x:row r="13" ht="38" customHeight="1">
      <x:c r="A13" s="18" t="str">
        <x:v>TGW C++ 开发手册</x:v>
      </x:c>
      <x:c r="B13" s="18" t="str">
        <x:v>MDETFCodeTableRecord</x:v>
      </x:c>
      <x:c r="C13" s="18" t="str">
        <x:v>85–87（77–79）/头文件</x:v>
      </x:c>
      <x:c r="D13" s="18" t="str">
        <x:v>非 POD callback / wire 两级容器</x:v>
      </x:c>
      <x:c r="E13" s="18" t="str">
        <x:v>35 个固定字段=507 bytes + LP64 std::vector 24 bytes；成分股项 13 字段/sizeof=245</x:v>
      </x:c>
      <x:c r="F13" s="18" t="str">
        <x:v>LIVE_ALIGNED</x:v>
      </x:c>
      <x:c r="G13" s="18" t="str">
        <x:v>LIVE_ALIGNED(single SSE ETF parsed shape)</x:v>
      </x:c>
      <x:c r="H13" s="18" t="str">
        <x:v>不整体 ctypes 化；已验 1×35 + 300×13</x:v>
      </x:c>
    </x:row>
    <x:row r="14" ht="38" customHeight="1">
      <x:c r="A14" s="18" t="str">
        <x:v>AmazingData 开发手册</x:v>
      </x:c>
      <x:c r="B14" s="18" t="str">
        <x:v>Snapshot</x:v>
      </x:c>
      <x:c r="C14" s="18" t="str">
        <x:v>140–141（136–137）</x:v>
      </x:c>
      <x:c r="D14" s="18" t="str">
        <x:v>输出结构</x:v>
      </x:c>
      <x:c r="E14" s="18" t="str">
        <x:v>按 PDF 字段表逐列登记</x:v>
      </x:c>
      <x:c r="F14" s="18" t="str">
        <x:v>WIRE_VERIFIED</x:v>
      </x:c>
      <x:c r="G14" s="18" t="str">
        <x:v>WIRE_VERIFIED(raw keys/delta)</x:v>
      </x:c>
      <x:c r="H14" s="18" t="str">
        <x:v>5 档价格/量、IOPV、交易阶段、缩放和 delta 合并</x:v>
      </x:c>
    </x:row>
    <x:row r="15" ht="38" customHeight="1">
      <x:c r="A15" s="18" t="str">
        <x:v>AmazingData 开发手册</x:v>
      </x:c>
      <x:c r="B15" s="18" t="str">
        <x:v>SnapshotOption</x:v>
      </x:c>
      <x:c r="C15" s="18" t="str">
        <x:v>141 起（137 起）</x:v>
      </x:c>
      <x:c r="D15" s="18" t="str">
        <x:v>输出结构</x:v>
      </x:c>
      <x:c r="E15" s="18" t="str">
        <x:v>按 PDF 字段表逐列登记</x:v>
      </x:c>
      <x:c r="F15" s="18" t="str">
        <x:v>INVENTORIED</x:v>
      </x:c>
      <x:c r="G15" s="18" t="str">
        <x:v>INVENTORIED</x:v>
      </x:c>
      <x:c r="H15" s="18" t="str">
        <x:v>持仓、结算、竞价字段及档位</x:v>
      </x:c>
    </x:row>
    <x:row r="16" ht="38" customHeight="1">
      <x:c r="A16" s="18" t="str">
        <x:v>AmazingData 开发手册</x:v>
      </x:c>
      <x:c r="B16" s="18" t="str">
        <x:v>SnapshotFuture</x:v>
      </x:c>
      <x:c r="C16" s="18" t="str">
        <x:v>142（138）</x:v>
      </x:c>
      <x:c r="D16" s="18" t="str">
        <x:v>输出结构</x:v>
      </x:c>
      <x:c r="E16" s="18" t="str">
        <x:v>按 PDF 字段表逐列登记</x:v>
      </x:c>
      <x:c r="F16" s="18" t="str">
        <x:v>INVENTORIED</x:v>
      </x:c>
      <x:c r="G16" s="18" t="str">
        <x:v>INVENTORIED</x:v>
      </x:c>
      <x:c r="H16" s="18" t="str">
        <x:v>结算、持仓、期货代码和单位</x:v>
      </x:c>
    </x:row>
    <x:row r="17" ht="38" customHeight="1">
      <x:c r="A17" s="18" t="str">
        <x:v>AmazingData 开发手册</x:v>
      </x:c>
      <x:c r="B17" s="18" t="str">
        <x:v>SnapshotIndex</x:v>
      </x:c>
      <x:c r="C17" s="18" t="str">
        <x:v>143（139）</x:v>
      </x:c>
      <x:c r="D17" s="18" t="str">
        <x:v>输出结构</x:v>
      </x:c>
      <x:c r="E17" s="18" t="str">
        <x:v>按 PDF 字段表逐列登记</x:v>
      </x:c>
      <x:c r="F17" s="18" t="str">
        <x:v>INVENTORIED</x:v>
      </x:c>
      <x:c r="G17" s="18" t="str">
        <x:v>INVENTORIED</x:v>
      </x:c>
      <x:c r="H17" s="18" t="str">
        <x:v>指数价格缩放为 1e6</x:v>
      </x:c>
    </x:row>
    <x:row r="18" ht="38" customHeight="1">
      <x:c r="A18" s="18" t="str">
        <x:v>AmazingData 开发手册</x:v>
      </x:c>
      <x:c r="B18" s="18" t="str">
        <x:v>SnapshotHKT</x:v>
      </x:c>
      <x:c r="C18" s="18" t="str">
        <x:v>144（140）</x:v>
      </x:c>
      <x:c r="D18" s="18" t="str">
        <x:v>输出结构</x:v>
      </x:c>
      <x:c r="E18" s="18" t="str">
        <x:v>按 PDF 字段表逐列登记</x:v>
      </x:c>
      <x:c r="F18" s="18" t="str">
        <x:v>WIRE_VERIFIED</x:v>
      </x:c>
      <x:c r="G18" s="18" t="str">
        <x:v>WIRE_VERIFIED(raw numeric keys/delta)</x:v>
      </x:c>
      <x:c r="H18" s="18" t="str">
        <x:v>港股状态及市场特有字段；建立数字 key 映射与 delta 状态合并</x:v>
      </x:c>
    </x:row>
    <x:row r="19" ht="38" customHeight="1">
      <x:c r="A19" s="18" t="str">
        <x:v>AmazingData 开发手册</x:v>
      </x:c>
      <x:c r="B19" s="18" t="str">
        <x:v>Kline</x:v>
      </x:c>
      <x:c r="C19" s="18" t="str">
        <x:v>145（141）</x:v>
      </x:c>
      <x:c r="D19" s="18" t="str">
        <x:v>输出结构</x:v>
      </x:c>
      <x:c r="E19" s="18" t="str">
        <x:v>按 PDF 字段表逐列登记</x:v>
      </x:c>
      <x:c r="F19" s="18" t="str">
        <x:v>LIVE_ALIGNED</x:v>
      </x:c>
      <x:c r="G19" s="18" t="str">
        <x:v>LIVE_ALIGNED(daily + weekly + monthly low-level)</x:v>
      </x:c>
      <x:c r="H19" s="18" t="str">
        <x:v>日期/时间、价格金额缩放；其它周期仍待验</x:v>
      </x:c>
    </x:row>
  </x:sheetData>
  <x:mergeCells>
    <x:mergeCell ref="A1:H1"/>
    <x:mergeCell ref="A2:H2"/>
  </x:mergeCells>
  <x:dataValidations count="1">
    <x:dataValidation type="list" sqref="F5:F19">
      <x:formula1>'状态字典'!$A$5:$A$16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30" hidden="0" customWidth="1"/>
    <x:col min="5" max="5" width="18" hidden="0" customWidth="1"/>
    <x:col min="6" max="6" width="35" hidden="0" customWidth="1"/>
    <x:col min="7" max="7" width="35" hidden="0" customWidth="1"/>
    <x:col min="8" max="8" width="38" hidden="0" customWidth="1"/>
    <x:col min="9" max="9" width="14" hidden="0" customWidth="1"/>
    <x:col min="10" max="10" width="38" hidden="0" customWidth="1"/>
    <x:col min="11" max="11" width="25" hidden="0" customWidth="1"/>
    <x:col min="12" max="12" width="50" hidden="0" customWidth="1"/>
  </x:cols>
  <x:sheetData>
    <x:row r="1" ht="36" customHeight="1">
      <x:c r="A1" s="3" t="str">
        <x:v>测试批次与差分结果</x:v>
      </x:c>
      <x:c r="B1" s="3" t="str">
        <x:v>测试批次与差分结果</x:v>
      </x:c>
      <x:c r="C1" s="3" t="str">
        <x:v>测试批次与差分结果</x:v>
      </x:c>
      <x:c r="D1" s="3" t="str">
        <x:v>测试批次与差分结果</x:v>
      </x:c>
      <x:c r="E1" s="3" t="str">
        <x:v>测试批次与差分结果</x:v>
      </x:c>
      <x:c r="F1" s="3" t="str">
        <x:v>测试批次与差分结果</x:v>
      </x:c>
      <x:c r="G1" s="3" t="str">
        <x:v>测试批次与差分结果</x:v>
      </x:c>
      <x:c r="H1" s="3" t="str">
        <x:v>测试批次与差分结果</x:v>
      </x:c>
      <x:c r="I1" s="3" t="str">
        <x:v>测试批次与差分结果</x:v>
      </x:c>
      <x:c r="J1" s="3" t="str">
        <x:v>测试批次与差分结果</x:v>
      </x:c>
      <x:c r="K1" s="3" t="str">
        <x:v>测试批次与差分结果</x:v>
      </x:c>
      <x:c r="L1" s="3" t="str">
        <x:v>测试批次与差分结果</x:v>
      </x:c>
    </x:row>
    <x:row r="2" ht="32" customHeight="1">
      <x:c r="A2" s="7" t="str">
        <x:v>只记录脱敏 shape、类型、不变量和控制字段；禁止账号、密码、token、MAC、原始价格或完整响应。</x:v>
      </x:c>
      <x:c r="B2" s="7" t="str">
        <x:v>只记录脱敏 shape、类型、不变量和控制字段；禁止账号、密码、token、MAC、原始价格或完整响应。</x:v>
      </x:c>
      <x:c r="C2" s="7" t="str">
        <x:v>只记录脱敏 shape、类型、不变量和控制字段；禁止账号、密码、token、MAC、原始价格或完整响应。</x:v>
      </x:c>
      <x:c r="D2" s="7" t="str">
        <x:v>只记录脱敏 shape、类型、不变量和控制字段；禁止账号、密码、token、MAC、原始价格或完整响应。</x:v>
      </x:c>
      <x:c r="E2" s="7" t="str">
        <x:v>只记录脱敏 shape、类型、不变量和控制字段；禁止账号、密码、token、MAC、原始价格或完整响应。</x:v>
      </x:c>
      <x:c r="F2" s="7" t="str">
        <x:v>只记录脱敏 shape、类型、不变量和控制字段；禁止账号、密码、token、MAC、原始价格或完整响应。</x:v>
      </x:c>
      <x:c r="G2" s="7" t="str">
        <x:v>只记录脱敏 shape、类型、不变量和控制字段；禁止账号、密码、token、MAC、原始价格或完整响应。</x:v>
      </x:c>
      <x:c r="H2" s="7" t="str">
        <x:v>只记录脱敏 shape、类型、不变量和控制字段；禁止账号、密码、token、MAC、原始价格或完整响应。</x:v>
      </x:c>
      <x:c r="I2" s="7" t="str">
        <x:v>只记录脱敏 shape、类型、不变量和控制字段；禁止账号、密码、token、MAC、原始价格或完整响应。</x:v>
      </x:c>
      <x:c r="J2" s="7" t="str">
        <x:v>只记录脱敏 shape、类型、不变量和控制字段；禁止账号、密码、token、MAC、原始价格或完整响应。</x:v>
      </x:c>
      <x:c r="K2" s="7" t="str">
        <x:v>只记录脱敏 shape、类型、不变量和控制字段；禁止账号、密码、token、MAC、原始价格或完整响应。</x:v>
      </x:c>
      <x:c r="L2" s="7" t="str">
        <x:v>只记录脱敏 shape、类型、不变量和控制字段；禁止账号、密码、token、MAC、原始价格或完整响应。</x:v>
      </x:c>
    </x:row>
    <x:row r="4" ht="30" customHeight="1">
      <x:c r="A4" s="13" t="str">
        <x:v>批次</x:v>
      </x:c>
      <x:c r="B4" s="13" t="str">
        <x:v>日期</x:v>
      </x:c>
      <x:c r="C4" s="13" t="str">
        <x:v>接口</x:v>
      </x:c>
      <x:c r="D4" s="13" t="str">
        <x:v>同参范围</x:v>
      </x:c>
      <x:c r="E4" s="13" t="str">
        <x:v>测试类型</x:v>
      </x:c>
      <x:c r="F4" s="13" t="str">
        <x:v>Linux摘要</x:v>
      </x:c>
      <x:c r="G4" s="13" t="str">
        <x:v>Mac摘要</x:v>
      </x:c>
      <x:c r="H4" s="13" t="str">
        <x:v>差分结论</x:v>
      </x:c>
      <x:c r="I4" s="13" t="str">
        <x:v>清理完成</x:v>
      </x:c>
      <x:c r="J4" s="13" t="str">
        <x:v>证据</x:v>
      </x:c>
      <x:c r="K4" s="13" t="str">
        <x:v>拟议状态</x:v>
      </x:c>
      <x:c r="L4" s="13" t="str">
        <x:v>备注</x:v>
      </x:c>
    </x:row>
    <x:row r="5" ht="38" customHeight="1">
      <x:c r="A5" s="18" t="str">
        <x:v>B-20260826-01</x:v>
      </x:c>
      <x:c r="B5" s="18" t="str">
        <x:v>2026-08-26</x:v>
      </x:c>
      <x:c r="C5" s="18" t="str">
        <x:v>Login/Close</x:v>
      </x:c>
      <x:c r="D5" s="18" t="str">
        <x:v>internet 单连接</x:v>
      </x:c>
      <x:c r="E5" s="18" t="str">
        <x:v>只读会话</x:v>
      </x:c>
      <x:c r="F5" s="18" t="str">
        <x:v>成功</x:v>
      </x:c>
      <x:c r="G5" s="18" t="str">
        <x:v>成功</x:v>
      </x:c>
      <x:c r="H5" s="18" t="str">
        <x:v>状态/关闭行为一致</x:v>
      </x:c>
      <x:c r="I5" s="18" t="str">
        <x:v>是</x:v>
      </x:c>
      <x:c r="J5" s="18" t="str">
        <x:v>docs/API_STATUS.md</x:v>
      </x:c>
      <x:c r="K5" s="18" t="str">
        <x:v>LIVE_ALIGNED</x:v>
      </x:c>
      <x:c r="L5" s="18" t="str">
        <x:v>凭据与 token 未记录</x:v>
      </x:c>
    </x:row>
    <x:row r="6" ht="38" customHeight="1">
      <x:c r="A6" s="18" t="str">
        <x:v>B-20260826-02</x:v>
      </x:c>
      <x:c r="B6" s="18" t="str">
        <x:v>2026-08-26</x:v>
      </x:c>
      <x:c r="C6" s="18" t="str">
        <x:v>QueryKline</x:v>
      </x:c>
      <x:c r="D6" s="18" t="str">
        <x:v>SSE 单代码单日日线</x:v>
      </x:c>
      <x:c r="E6" s="18" t="str">
        <x:v>盘后查询</x:v>
      </x:c>
      <x:c r="F6" s="18" t="str">
        <x:v>成功；shape 已脱敏</x:v>
      </x:c>
      <x:c r="G6" s="18" t="str">
        <x:v>成功；11 字段容器</x:v>
      </x:c>
      <x:c r="H6" s="18" t="str">
        <x:v>daily 子范围一致</x:v>
      </x:c>
      <x:c r="I6" s="18" t="str">
        <x:v>是</x:v>
      </x:c>
      <x:c r="J6" s="18" t="str">
        <x:v>docs/evidence/query_kline_daily.md</x:v>
      </x:c>
      <x:c r="K6" s="18" t="str">
        <x:v>LIVE_ALIGNED(daily only)</x:v>
      </x:c>
      <x:c r="L6" s="18" t="str">
        <x:v>本轮服务端 1000 限流证据另保留</x:v>
      </x:c>
    </x:row>
    <x:row r="7" ht="38" customHeight="1">
      <x:c r="A7" s="18" t="str">
        <x:v>B-20260826-03</x:v>
      </x:c>
      <x:c r="B7" s="18" t="str">
        <x:v>2026-08-26</x:v>
      </x:c>
      <x:c r="C7" s="18" t="str">
        <x:v>QueryThirdInfo</x:v>
      </x:c>
      <x:c r="D7" s="18" t="str">
        <x:v>交易日历单市场窄日期窗</x:v>
      </x:c>
      <x:c r="E7" s="18" t="str">
        <x:v>盘后查询</x:v>
      </x:c>
      <x:c r="F7" s="18" t="str">
        <x:v>成功；嵌套 JSON shape</x:v>
      </x:c>
      <x:c r="G7" s="18" t="str">
        <x:v>成功；list/DataFrame</x:v>
      </x:c>
      <x:c r="H7" s="18" t="str">
        <x:v>功能号子范围一致</x:v>
      </x:c>
      <x:c r="I7" s="18" t="str">
        <x:v>是</x:v>
      </x:c>
      <x:c r="J7" s="18" t="str">
        <x:v>docs/API_STATUS.md</x:v>
      </x:c>
      <x:c r="K7" s="18" t="str">
        <x:v>LIVE_ALIGNED(calendar function only)</x:v>
      </x:c>
      <x:c r="L7" s="18" t="str">
        <x:v>PDF 目录功能号版本差异待复核</x:v>
      </x:c>
    </x:row>
    <x:row r="8" ht="38" customHeight="1">
      <x:c r="A8" s="18" t="str">
        <x:v>B-20260826-04</x:v>
      </x:c>
      <x:c r="B8" s="18" t="str">
        <x:v>2026-08-26</x:v>
      </x:c>
      <x:c r="C8" s="18" t="str">
        <x:v>QuerySnapshot</x:v>
      </x:c>
      <x:c r="D8" s="18" t="str">
        <x:v>SZSE ETF L1 单日窄窗口</x:v>
      </x:c>
      <x:c r="E8" s="18" t="str">
        <x:v>盘后查询</x:v>
      </x:c>
      <x:c r="F8" s="18" t="str">
        <x:v>成功；wire/tag 已确认</x:v>
      </x:c>
      <x:c r="G8" s="18" t="str">
        <x:v>数据 shape 同参；错误语义待修</x:v>
      </x:c>
      <x:c r="H8" s="18" t="str">
        <x:v>不得提升整体接口</x:v>
      </x:c>
      <x:c r="I8" s="18" t="str">
        <x:v>是</x:v>
      </x:c>
      <x:c r="J8" s="18" t="str">
        <x:v>docs/evidence/query_snapshot_szse_etf.md</x:v>
      </x:c>
      <x:c r="K8" s="18" t="str">
        <x:v>CHANGES_REQUESTED</x:v>
      </x:c>
      <x:c r="L8" s="18" t="str">
        <x:v>仅 data_type=0 / level_type=0</x:v>
      </x:c>
    </x:row>
    <x:row r="9" ht="38" customHeight="1">
      <x:c r="A9" s="18" t="str">
        <x:v>B-20260826-05</x:v>
      </x:c>
      <x:c r="B9" s="18" t="str">
        <x:v>2026-08-26</x:v>
      </x:c>
      <x:c r="C9" s="18" t="str">
        <x:v>QueryKline</x:v>
      </x:c>
      <x:c r="D9" s="18" t="str">
        <x:v>SSE 单代码单周周线</x:v>
      </x:c>
      <x:c r="E9" s="18" t="str">
        <x:v>盘后查询</x:v>
      </x:c>
      <x:c r="F9" s="18" t="str">
        <x:v>成功；1行/11列，wire/tag=10101</x:v>
      </x:c>
      <x:c r="G9" s="18" t="str">
        <x:v>成功；1行/11列，类型一致</x:v>
      </x:c>
      <x:c r="H9" s="18" t="str">
        <x:v>weekly 子范围一致</x:v>
      </x:c>
      <x:c r="I9" s="18" t="str">
        <x:v>是</x:v>
      </x:c>
      <x:c r="J9" s="18" t="str">
        <x:v>docs/evidence/query_kline_week.md</x:v>
      </x:c>
      <x:c r="K9" s="18" t="str">
        <x:v>LIVE_ALIGNED</x:v>
      </x:c>
      <x:c r="L9" s="18" t="str">
        <x:v>仅 cyc_type=10009；未保存行情原值</x:v>
      </x:c>
    </x:row>
    <x:row r="10" ht="38" customHeight="1">
      <x:c r="A10" s="18" t="str">
        <x:v>B-20260826-06</x:v>
      </x:c>
      <x:c r="B10" s="18" t="str">
        <x:v>2026-08-26</x:v>
      </x:c>
      <x:c r="C10" s="18" t="str">
        <x:v>QueryKline</x:v>
      </x:c>
      <x:c r="D10" s="18" t="str">
        <x:v>SSE 单代码单月月线</x:v>
      </x:c>
      <x:c r="E10" s="18" t="str">
        <x:v>盘后查询</x:v>
      </x:c>
      <x:c r="F10" s="18" t="str">
        <x:v>成功；1行/11列，wire/tag=10102</x:v>
      </x:c>
      <x:c r="G10" s="18" t="str">
        <x:v>成功；1行/11列，类型一致</x:v>
      </x:c>
      <x:c r="H10" s="18" t="str">
        <x:v>monthly 子范围一致</x:v>
      </x:c>
      <x:c r="I10" s="18" t="str">
        <x:v>是</x:v>
      </x:c>
      <x:c r="J10" s="18" t="str">
        <x:v>docs/evidence/query_kline_month.md</x:v>
      </x:c>
      <x:c r="K10" s="18" t="str">
        <x:v>LIVE_ALIGNED</x:v>
      </x:c>
      <x:c r="L10" s="18" t="str">
        <x:v>仅 cyc_type=10010；未保存行情原值</x:v>
      </x:c>
    </x:row>
    <x:row r="11" ht="38" customHeight="1">
      <x:c r="A11" s="18" t="str">
        <x:v>B-20260826-07</x:v>
      </x:c>
      <x:c r="B11" s="18" t="str">
        <x:v>2026-08-26</x:v>
      </x:c>
      <x:c r="C11" s="18" t="str">
        <x:v>QueryCodeTable</x:v>
      </x:c>
      <x:c r="D11" s="18" t="str">
        <x:v>无业务入参静态契约</x:v>
      </x:c>
      <x:c r="E11" s="18" t="str">
        <x:v>静态核对</x:v>
      </x:c>
      <x:c r="F11" s="18" t="str">
        <x:v>未执行</x:v>
      </x:c>
      <x:c r="G11" s="18" t="str">
        <x:v>未实现</x:v>
      </x:c>
      <x:c r="H11" s="18" t="str">
        <x:v>PDF/HDR/Python 六字段契约一致</x:v>
      </x:c>
      <x:c r="I11" s="18" t="str">
        <x:v>否</x:v>
      </x:c>
      <x:c r="J11" s="18" t="str">
        <x:v>docs/evidence/query_code_table_static.md</x:v>
      </x:c>
      <x:c r="K11" s="18" t="str">
        <x:v>STATIC_MATCHED</x:v>
      </x:c>
      <x:c r="L11" s="18" t="str">
        <x:v>同步 wrapper 首批竞态已登记</x:v>
      </x:c>
    </x:row>
    <x:row r="12" ht="38" customHeight="1">
      <x:c r="A12" s="18" t="str">
        <x:v>B-20260826-08</x:v>
      </x:c>
      <x:c r="B12" s="18" t="str">
        <x:v>2026-08-26</x:v>
      </x:c>
      <x:c r="C12" s="18" t="str">
        <x:v>QueryETFInfo</x:v>
      </x:c>
      <x:c r="D12" s="18" t="str">
        <x:v>SSE 510300 静态契约</x:v>
      </x:c>
      <x:c r="E12" s="18" t="str">
        <x:v>静态核对</x:v>
      </x:c>
      <x:c r="F12" s="18" t="str">
        <x:v>未执行</x:v>
      </x:c>
      <x:c r="G12" s="18" t="str">
        <x:v>未实现</x:v>
      </x:c>
      <x:c r="H12" s="18" t="str">
        <x:v>请求/嵌套返回契约已锁定</x:v>
      </x:c>
      <x:c r="I12" s="18" t="str">
        <x:v>否</x:v>
      </x:c>
      <x:c r="J12" s="18" t="str">
        <x:v>docs/evidence/query_etf_info_static.md</x:v>
      </x:c>
      <x:c r="K12" s="18" t="str">
        <x:v>STATIC_MATCHED</x:v>
      </x:c>
      <x:c r="L12" s="18" t="str">
        <x:v>含 std::vector，不能整体 ctypes 化</x:v>
      </x:c>
    </x:row>
    <x:row r="13" ht="38" customHeight="1">
      <x:c r="A13" s="18" t="str">
        <x:v>B-20260826-09</x:v>
      </x:c>
      <x:c r="B13" s="18" t="str">
        <x:v>2026-08-26</x:v>
      </x:c>
      <x:c r="C13" s="18" t="str">
        <x:v>QueryETFInfo</x:v>
      </x:c>
      <x:c r="D13" s="18" t="str">
        <x:v>SSE 510300 单 ETF 同步查询</x:v>
      </x:c>
      <x:c r="E13" s="18" t="str">
        <x:v>盘后查询</x:v>
      </x:c>
      <x:c r="F13" s="18" t="str">
        <x:v>成功；1条基础35字段+300条成分×13字段</x:v>
      </x:c>
      <x:c r="G13" s="18" t="str">
        <x:v>成功；返回码/行数/列集合/类型一致</x:v>
      </x:c>
      <x:c r="H13" s="18" t="str">
        <x:v>single SSE ETF 子范围一致</x:v>
      </x:c>
      <x:c r="I13" s="18" t="str">
        <x:v>是</x:v>
      </x:c>
      <x:c r="J13" s="18" t="str">
        <x:v>docs/evidence/query_etf_info_sse_etf.md</x:v>
      </x:c>
      <x:c r="K13" s="18" t="str">
        <x:v>LIVE_ALIGNED</x:v>
      </x:c>
      <x:c r="L13" s="18" t="str">
        <x:v>push WSS；tag=字符串111；SZSE/多item/异步未验</x:v>
      </x:c>
    </x:row>
    <x:row r="14" ht="38" customHeight="1">
      <x:c r="A14" s="18" t="str">
        <x:v>B-20260826-10</x:v>
      </x:c>
      <x:c r="B14" s="18" t="str">
        <x:v>2026-08-26</x:v>
      </x:c>
      <x:c r="C14" s="18" t="str">
        <x:v>QuerySnapshot</x:v>
      </x:c>
      <x:c r="D14" s="18" t="str">
        <x:v>SZSE ETF L1 同步错误码+异步 SPI（同参复验）</x:v>
      </x:c>
      <x:c r="E14" s="18" t="str">
        <x:v>盘后查询</x:v>
      </x:c>
      <x:c r="F14" s="18" t="str">
        <x:v>空窗 (None,-76)；数据窗 (11行,0)；异步 submit(True,None)+回调(list,11)/(None,-76)</x:v>
      </x:c>
      <x:c r="G14" s="18" t="str">
        <x:v>四场景逐一一致（同步双格式+异步双分支）</x:v>
      </x:c>
      <x:c r="H14" s="18" t="str">
        <x:v>sync+async error contract 一致；多包异步交付仍未观测</x:v>
      </x:c>
      <x:c r="I14" s="18" t="str">
        <x:v>是</x:v>
      </x:c>
      <x:c r="J14" s="18" t="str">
        <x:v>docs/evidence/query_snapshot_error_async_contract.md</x:v>
      </x:c>
      <x:c r="K14" s="18" t="str">
        <x:v>LIVE_ALIGNED</x:v>
      </x:c>
      <x:c r="L14" s="18" t="str">
        <x:v>本轮查询通道3次1000准入回收，低频间隔后恢复；wire 新增 DataEmpty 错误帧形状</x:v>
      </x:c>
    </x:row>
    <x:row r="15" ht="38" customHeight="1">
      <x:c r="A15" s="18" t="str">
        <x:v>B-20260826-11</x:v>
      </x:c>
      <x:c r="B15" s="18" t="str">
        <x:v>2026-08-26</x:v>
      </x:c>
      <x:c r="C15" s="18" t="str">
        <x:v>QueryCodeTable</x:v>
      </x:c>
      <x:c r="D15" s="18" t="str">
        <x:v>互联网全市场 wire 取证 + Mac 实现（ARM）</x:v>
      </x:c>
      <x:c r="E15" s="18" t="str">
        <x:v>盘后查询</x:v>
      </x:c>
      <x:c r="F15" s="18" t="str">
        <x:v>登录成功；sync probe -83 kTimeout（服务端12包缺第3包，ReqGetPackage无响应）；wire: dgw*_query/ReqGetReduceCodeTable/tag11103/反引号6字段/11包共167,269行</x:v>
      </x:c>
      <x:c r="G15" s="18" t="str">
        <x:v>登录成功；缺包超时（同因同果）；dgw2 备用端点 1000 accept conn active close 流控</x:v>
      </x:c>
      <x:c r="H15" s="18" t="str">
        <x:v>无成功同参样本（两侧均被服务端全市场缺包阻塞）；错误语义同因同果</x:v>
      </x:c>
      <x:c r="I15" s="18" t="str">
        <x:v>是</x:v>
      </x:c>
      <x:c r="J15" s="18" t="str">
        <x:v>docs/evidence/query_code_table_live_closure.md</x:v>
      </x:c>
      <x:c r="K15" s="18" t="str">
        <x:v>ARM_IMPLEMENTED</x:v>
      </x:c>
      <x:c r="L15" s="18" t="str">
        <x:v>完成 method 未证；currency/security_type 空白串 trim 待成功样本复核；query_spi 显式拒绝</x:v>
      </x:c>
    </x:row>
    <x:row r="16" ht="38" customHeight="1">
      <x:c r="A16" s="18" t="str">
        <x:v>B-20260826-12</x:v>
      </x:c>
      <x:c r="B16" s="18" t="str">
        <x:v>2026-08-26</x:v>
      </x:c>
      <x:c r="C16" s="18" t="str">
        <x:v>QueryKline</x:v>
      </x:c>
      <x:c r="D16" s="18" t="str">
        <x:v>季线 cyc_type=10011 静态三方契约</x:v>
      </x:c>
      <x:c r="E16" s="18" t="str">
        <x:v>静态核对</x:v>
      </x:c>
      <x:c r="F16" s="18" t="str">
        <x:v>未执行</x:v>
      </x:c>
      <x:c r="G16" s="18" t="str">
        <x:v>未实现</x:v>
      </x:c>
      <x:c r="H16" s="18" t="str">
        <x:v>PDF/HDR/官方 wrapper 三方一致；MDKLine 11 字段含补列，周期无关</x:v>
      </x:c>
      <x:c r="I16" s="18" t="str">
        <x:v>否</x:v>
      </x:c>
      <x:c r="J16" s="18" t="str">
        <x:v>docs/evidence/query_kline_quarter_static.md</x:v>
      </x:c>
      <x:c r="K16" s="18" t="str">
        <x:v>STATIC_MATCHED</x:v>
      </x:c>
      <x:c r="L16" s="18" t="str">
        <x:v>10011→wire 10103 为外推假设，未实捕，禁止预填实现</x:v>
      </x:c>
    </x:row>
    <x:row r="17" ht="38" customHeight="1">
      <x:c r="A17" s="18" t="str">
        <x:v>B-20260826-13</x:v>
      </x:c>
      <x:c r="B17" s="18" t="str">
        <x:v>2026-08-26</x:v>
      </x:c>
      <x:c r="C17" s="18" t="str">
        <x:v>QueryKline</x:v>
      </x:c>
      <x:c r="D17" s="18" t="str">
        <x:v>季线 cyc_type=10011 Linux/wire/Mac 同参闭环</x:v>
      </x:c>
      <x:c r="E17" s="18" t="str">
        <x:v>盘后查询</x:v>
      </x:c>
      <x:c r="F17" s="18" t="str">
        <x:v>login true、error 0、1行/11列（10 int+1 str）、kline_time 8位、market=[101]；wire 实捕 10011→period_type/tag=10103、单包、ReqGetComplete+正常close</x:v>
      </x:c>
      <x:c r="G17" s="18" t="str">
        <x:v>登录成功、error 0、rows=1、11 列集合/类型与 Linux 完全一致</x:v>
      </x:c>
      <x:c r="H17" s="18" t="str">
        <x:v>quarterly 子范围同参一致</x:v>
      </x:c>
      <x:c r="I17" s="18" t="str">
        <x:v>是</x:v>
      </x:c>
      <x:c r="J17" s="18" t="str">
        <x:v>docs/evidence/query_kline_quarter_live.md</x:v>
      </x:c>
      <x:c r="K17" s="18" t="str">
        <x:v>LIVE_ALIGNED(quarterly only)</x:v>
      </x:c>
      <x:c r="L17" s="18" t="str">
        <x:v>年线/分钟族未验且显式拒绝；季线线上单包样本；跨季多包仅合成覆盖</x:v>
      </x:c>
    </x:row>
    <x:row r="18" ht="38" customHeight="1">
      <x:c r="A18" s="18" t="str">
        <x:v>B-20260826-14</x:v>
      </x:c>
      <x:c r="B18" s="18" t="str">
        <x:v>2026-08-26</x:v>
      </x:c>
      <x:c r="C18" s="18" t="str">
        <x:v>QueryKline</x:v>
      </x:c>
      <x:c r="D18" s="18" t="str">
        <x:v>年线 cyc_type=10012 Linux/wire/Mac 同参闭环</x:v>
      </x:c>
      <x:c r="E18" s="18" t="str">
        <x:v>盘后查询</x:v>
      </x:c>
      <x:c r="F18" s="18" t="str">
        <x:v>login true、error 0、1行/11列；wire 实捕 10012→period_type/tag=10104、单包、ReqGetComplete+正常close</x:v>
      </x:c>
      <x:c r="G18" s="18" t="str">
        <x:v>Mac 首次被 1000 流控回收，低频换备用端点成功后 error 0、rows=1、11 列类型一致</x:v>
      </x:c>
      <x:c r="H18" s="18" t="str">
        <x:v>yearly 子范围同参一致</x:v>
      </x:c>
      <x:c r="I18" s="18" t="str">
        <x:v>是</x:v>
      </x:c>
      <x:c r="J18" s="18" t="str">
        <x:v>docs/evidence/query_kline_year_live.md</x:v>
      </x:c>
      <x:c r="K18" s="18" t="str">
        <x:v>LIVE_ALIGNED(yearly only)</x:v>
      </x:c>
      <x:c r="L18" s="18" t="str">
        <x:v>分钟族未验且显式拒绝；年线线上单包样本；跨年多包仅合成覆盖</x:v>
      </x:c>
    </x:row>
    <x:row r="19" ht="38" customHeight="1">
      <x:c r="A19" s="18" t="str">
        <x:v>B-20260826-15</x:v>
      </x:c>
      <x:c r="B19" s="18" t="str">
        <x:v>2026-08-26</x:v>
      </x:c>
      <x:c r="C19" s="18" t="str">
        <x:v>QuerySecuritiesInfo</x:v>
      </x:c>
      <x:c r="D19" s="18" t="str">
        <x:v>SSE 510300 单代码最小只读闭环</x:v>
      </x:c>
      <x:c r="E19" s="18" t="str">
        <x:v>盘后查询</x:v>
      </x:c>
      <x:c r="F19" s="18" t="str">
        <x:v>login true、error 0、1行/43列（int/str）、market=[101]、variety=[2]；wire: push ReqGetCodeTableList/Security=510300|101/tag=字符串109/ReqGetCodelistComplete</x:v>
      </x:c>
      <x:c r="G19" s="18" t="str">
        <x:v>error 0、1 行、43 列类型/不变量与 Linux 逐项一致</x:v>
      </x:c>
      <x:c r="H19" s="18" t="str">
        <x:v>SSE single code 子范围同参一致</x:v>
      </x:c>
      <x:c r="I19" s="18" t="str">
        <x:v>是</x:v>
      </x:c>
      <x:c r="J19" s="18" t="str">
        <x:v>docs/evidence/query_securities_info_sse.md</x:v>
      </x:c>
      <x:c r="K19" s="18" t="str">
        <x:v>LIVE_ALIGNED(SSE single code only)</x:v>
      </x:c>
      <x:c r="L19" s="18" t="str">
        <x:v>全市场/多item/SZSE/NEEQ 显式拒绝；空结果/非零status未取证；push 无重连</x:v>
      </x:c>
    </x:row>
    <x:row r="20" ht="38" customHeight="1">
      <x:c r="A20" s="18" t="str">
        <x:v>B-20260826-16</x:v>
      </x:c>
      <x:c r="B20" s="18" t="str">
        <x:v>2026-08-26</x:v>
      </x:c>
      <x:c r="C20" s="18" t="str">
        <x:v>QueryExFactorTable</x:v>
      </x:c>
      <x:c r="D20" s="18" t="str">
        <x:v>000001 单代码最小只读闭环</x:v>
      </x:c>
      <x:c r="E20" s="18" t="str">
        <x:v>盘后查询</x:v>
      </x:c>
      <x:c r="F20" s="18" t="str">
        <x:v>login true、err 0、33行/5列（inner_code/code str、ex_date int、ex_factor/cum_factor float）、double 18位往返无损、cum_factor 单调违例2处；wire: dgw1_query ReqGetExFactor/tag=11102/5字段CSV/ReqGetComplete</x:v>
      </x:c>
      <x:c r="G20" s="18" t="str">
        <x:v>err 0、33 行、5 列类型/不变量与 Linux 逐项一致（含单调违例2处吻合）</x:v>
      </x:c>
      <x:c r="H20" s="18" t="str">
        <x:v>000001 子范围同参一致</x:v>
      </x:c>
      <x:c r="I20" s="18" t="str">
        <x:v>是</x:v>
      </x:c>
      <x:c r="J20" s="18" t="str">
        <x:v>docs/evidence/query_ex_factor_table_000001.md</x:v>
      </x:c>
      <x:c r="K20" s="18" t="str">
        <x:v>LIVE_ALIGNED(000001 only)</x:v>
      </x:c>
      <x:c r="L20" s="18" t="str">
        <x:v>空结果/非零status未取证；多包未线上观测；异步 SPI 未实现；double 缩放按 N38(15) 由调用方处理</x:v>
      </x:c>
    </x:row>
    <x:row r="21" ht="38" customHeight="1">
      <x:c r="A21" s="22" t="str">
        <x:v>后续 Agent 每次追加一行；一项接口/一个明确子范围/一个批次</x:v>
      </x:c>
      <x:c r="B21" s="22" t="str">
        <x:v>后续 Agent 每次追加一行；一项接口/一个明确子范围/一个批次</x:v>
      </x:c>
      <x:c r="C21" s="22" t="str">
        <x:v>后续 Agent 每次追加一行；一项接口/一个明确子范围/一个批次</x:v>
      </x:c>
      <x:c r="D21" s="22" t="str">
        <x:v>后续 Agent 每次追加一行；一项接口/一个明确子范围/一个批次</x:v>
      </x:c>
      <x:c r="E21" s="22" t="str">
        <x:v>后续 Agent 每次追加一行；一项接口/一个明确子范围/一个批次</x:v>
      </x:c>
      <x:c r="F21" s="22" t="str">
        <x:v>后续 Agent 每次追加一行；一项接口/一个明确子范围/一个批次</x:v>
      </x:c>
      <x:c r="G21" s="22" t="str">
        <x:v>后续 Agent 每次追加一行；一项接口/一个明确子范围/一个批次</x:v>
      </x:c>
      <x:c r="H21" s="22" t="str">
        <x:v>后续 Agent 每次追加一行；一项接口/一个明确子范围/一个批次</x:v>
      </x:c>
      <x:c r="I21" s="22" t="str">
        <x:v>后续 Agent 每次追加一行；一项接口/一个明确子范围/一个批次</x:v>
      </x:c>
      <x:c r="J21" s="22" t="str">
        <x:v>后续 Agent 每次追加一行；一项接口/一个明确子范围/一个批次</x:v>
      </x:c>
      <x:c r="K21" s="22" t="str">
        <x:v>后续 Agent 每次追加一行；一项接口/一个明确子范围/一个批次</x:v>
      </x:c>
      <x:c r="L21" s="22" t="str">
        <x:v>后续 Agent 每次追加一行；一项接口/一个明确子范围/一个批次</x:v>
      </x:c>
    </x:row>
    <x:row r="22" ht="38" customHeight="1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</x:row>
    <x:row r="23" ht="38" customHeight="1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</x:row>
    <x:row r="24" ht="38" customHeight="1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</x:row>
    <x:row r="25" ht="38" customHeight="1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</x:row>
    <x:row r="26" ht="38" customHeight="1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</x:row>
    <x:row r="27" ht="38" customHeight="1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/>
    </x:row>
    <x:row r="28" ht="38" customHeight="1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</x:row>
    <x:row r="29" ht="38" customHeight="1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</x:row>
    <x:row r="30" ht="38" customHeight="1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8" t="str"/>
    </x:row>
  </x:sheetData>
  <x:mergeCells>
    <x:mergeCell ref="A1:L1"/>
    <x:mergeCell ref="A2:L2"/>
    <x:mergeCell ref="A21:L21"/>
  </x:mergeCells>
  <x:dataValidations count="2">
    <x:dataValidation type="list" sqref="I5:I30">
      <x:formula1>"是,否"</x:formula1>
    </x:dataValidation>
    <x:dataValidation type="list" sqref="K5:K30">
      <x:formula1>'状态字典'!$A$5:$A$16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8" hidden="0" customWidth="1"/>
    <x:col min="4" max="4" width="16" hidden="0" customWidth="1"/>
  </x:cols>
  <x:sheetData>
    <x:row r="1" ht="36" customHeight="1">
      <x:c r="A1" s="3" t="str">
        <x:v>状态字典</x:v>
      </x:c>
      <x:c r="B1" s="3" t="str">
        <x:v>状态字典</x:v>
      </x:c>
      <x:c r="C1" s="3" t="str">
        <x:v>状态字典</x:v>
      </x:c>
      <x:c r="D1" s="3" t="str">
        <x:v>状态字典</x:v>
      </x:c>
    </x:row>
    <x:row r="2" ht="32" customHeight="1">
      <x:c r="A2" s="7" t="str">
        <x:v>进度百分比由状态自动映射；不得用“请求返回 0”代替同参验收。</x:v>
      </x:c>
      <x:c r="B2" s="7" t="str">
        <x:v>进度百分比由状态自动映射；不得用“请求返回 0”代替同参验收。</x:v>
      </x:c>
      <x:c r="C2" s="7" t="str">
        <x:v>进度百分比由状态自动映射；不得用“请求返回 0”代替同参验收。</x:v>
      </x:c>
      <x:c r="D2" s="7" t="str">
        <x:v>进度百分比由状态自动映射；不得用“请求返回 0”代替同参验收。</x:v>
      </x:c>
    </x:row>
    <x:row r="4" ht="30" customHeight="1">
      <x:c r="A4" s="13" t="str">
        <x:v>状态</x:v>
      </x:c>
      <x:c r="B4" s="13" t="str">
        <x:v>完成度%</x:v>
      </x:c>
      <x:c r="C4" s="13" t="str">
        <x:v>进入条件</x:v>
      </x:c>
      <x:c r="D4" s="13" t="str">
        <x:v>建议色</x:v>
      </x:c>
    </x:row>
    <x:row r="5">
      <x:c r="A5" s="18" t="str">
        <x:v>INVENTORIED</x:v>
      </x:c>
      <x:c r="B5" s="19" t="n">
        <x:v>10</x:v>
      </x:c>
      <x:c r="C5" s="18" t="str">
        <x:v>已在 PDF/目录登记；尚未证明运行行为</x:v>
      </x:c>
      <x:c r="D5" s="18" t="str">
        <x:v>#E5E7EB</x:v>
      </x:c>
    </x:row>
    <x:row r="6">
      <x:c r="A6" s="18" t="str">
        <x:v>STATIC_MATCHED</x:v>
      </x:c>
      <x:c r="B6" s="19" t="n">
        <x:v>25</x:v>
      </x:c>
      <x:c r="C6" s="18" t="str">
        <x:v>PDF、发行头文件、官方对象静态契约已核对</x:v>
      </x:c>
      <x:c r="D6" s="18" t="str">
        <x:v>#DBEAFE</x:v>
      </x:c>
    </x:row>
    <x:row r="7">
      <x:c r="A7" s="18" t="str">
        <x:v>LINUX_OBSERVED</x:v>
      </x:c>
      <x:c r="B7" s="19" t="n">
        <x:v>40</x:v>
      </x:c>
      <x:c r="C7" s="18" t="str">
        <x:v>Linux 官方 SDK 最小只读请求已观测</x:v>
      </x:c>
      <x:c r="D7" s="18" t="str">
        <x:v>#BFDBFE</x:v>
      </x:c>
    </x:row>
    <x:row r="8">
      <x:c r="A8" s="18" t="str">
        <x:v>WIRE_VERIFIED</x:v>
      </x:c>
      <x:c r="B8" s="19" t="n">
        <x:v>55</x:v>
      </x:c>
      <x:c r="C8" s="18" t="str">
        <x:v>method/字段/枚举/tag/分页与完成语义已取证</x:v>
      </x:c>
      <x:c r="D8" s="18" t="str">
        <x:v>#C7D2FE</x:v>
      </x:c>
    </x:row>
    <x:row r="9">
      <x:c r="A9" s="18" t="str">
        <x:v>ARM_IMPLEMENTED</x:v>
      </x:c>
      <x:c r="B9" s="19" t="n">
        <x:v>70</x:v>
      </x:c>
      <x:c r="C9" s="18" t="str">
        <x:v>Mac 已实现，未知分支显式失败，并有协议单测</x:v>
      </x:c>
      <x:c r="D9" s="18" t="str">
        <x:v>#DDD6FE</x:v>
      </x:c>
    </x:row>
    <x:row r="10">
      <x:c r="A10" s="18" t="str">
        <x:v>LIVE_ALIGNED</x:v>
      </x:c>
      <x:c r="B10" s="19" t="n">
        <x:v>85</x:v>
      </x:c>
      <x:c r="C10" s="18" t="str">
        <x:v>Linux 与 Mac 同参数、同范围线上对齐</x:v>
      </x:c>
      <x:c r="D10" s="18" t="str">
        <x:v>#BBF7D0</x:v>
      </x:c>
    </x:row>
    <x:row r="11">
      <x:c r="A11" s="18" t="str">
        <x:v>PILOT_READY</x:v>
      </x:c>
      <x:c r="B11" s="19" t="n">
        <x:v>100</x:v>
      </x:c>
      <x:c r="C11" s="18" t="str">
        <x:v>另通过资源、超时、重连/恢复和持续观测</x:v>
      </x:c>
      <x:c r="D11" s="18" t="str">
        <x:v>#86EFAC</x:v>
      </x:c>
    </x:row>
    <x:row r="12">
      <x:c r="A12" s="18" t="str">
        <x:v>CHANGES_REQUESTED</x:v>
      </x:c>
      <x:c r="B12" s="19" t="n">
        <x:v>45</x:v>
      </x:c>
      <x:c r="C12" s="18" t="str">
        <x:v>数据可能已通，但公开合约/错误语义仍需修复</x:v>
      </x:c>
      <x:c r="D12" s="18" t="str">
        <x:v>#FDE68A</x:v>
      </x:c>
    </x:row>
    <x:row r="13">
      <x:c r="A13" s="18" t="str">
        <x:v>BLOCKED</x:v>
      </x:c>
      <x:c r="B13" s="19" t="n">
        <x:v>20</x:v>
      </x:c>
      <x:c r="C13" s="18" t="str">
        <x:v>受权限、服务流控或缺少环境阻塞</x:v>
      </x:c>
      <x:c r="D13" s="18" t="str">
        <x:v>#FED7AA</x:v>
      </x:c>
    </x:row>
    <x:row r="14">
      <x:c r="A14" s="18" t="str">
        <x:v>OUT_OF_SCOPE_COLOC</x:v>
      </x:c>
      <x:c r="B14" s="19" t="n">
        <x:v>0</x:v>
      </x:c>
      <x:c r="C14" s="18" t="str">
        <x:v>仅托管模式；当前 internet 项目不实施</x:v>
      </x:c>
      <x:c r="D14" s="18" t="str">
        <x:v>#FECACA</x:v>
      </x:c>
    </x:row>
    <x:row r="15">
      <x:c r="A15" s="18" t="str">
        <x:v>NOT_IMPLEMENTED</x:v>
      </x:c>
      <x:c r="B15" s="19" t="n">
        <x:v>0</x:v>
      </x:c>
      <x:c r="C15" s="18" t="str">
        <x:v>公开接口尚未实现</x:v>
      </x:c>
      <x:c r="D15" s="18" t="str">
        <x:v>#FCA5A5</x:v>
      </x:c>
    </x:row>
    <x:row r="16">
      <x:c r="A16" s="18" t="str">
        <x:v>SKELETON_ONLY</x:v>
      </x:c>
      <x:c r="B16" s="19" t="n">
        <x:v>5</x:v>
      </x:c>
      <x:c r="C16" s="18" t="str">
        <x:v>仅本地实验骨架，不能表示真实服务可用</x:v>
      </x:c>
      <x:c r="D16" s="18" t="str">
        <x:v>#D1D5DB</x:v>
      </x:c>
    </x:row>
  </x:sheetData>
  <x:mergeCells>
    <x:mergeCell ref="A1:D1"/>
    <x:mergeCell ref="A2:D2"/>
  </x:mergeCells>
  <x:pageMargins left="0.7" right="0.7" top="0.75" bottom="0.75" header="0.3" footer="0.3"/>
</x:worksheet>
</file>